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/>
  </bookViews>
  <sheets>
    <sheet name="2601001岗" sheetId="1" r:id="rId1"/>
    <sheet name="2601002岗" sheetId="2" r:id="rId2"/>
    <sheet name="2601003岗" sheetId="3" r:id="rId3"/>
    <sheet name="2601004岗" sheetId="4" r:id="rId4"/>
  </sheets>
  <externalReferences>
    <externalReference r:id="rId5"/>
  </externalReferences>
  <definedNames>
    <definedName name="_xlnm._FilterDatabase" localSheetId="0" hidden="1">'2601001岗'!$A$3:$IV$48</definedName>
    <definedName name="_xlnm.Print_Titles" localSheetId="0">'2601001岗'!$3:$3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<sst xmlns="http://schemas.openxmlformats.org/spreadsheetml/2006/main" count="265" uniqueCount="93">
  <si>
    <t>市公安局大旺分局2026年第一次公开招聘警务辅助人员综合成绩及
进入体检、政审人员名单</t>
  </si>
  <si>
    <t>招聘岗位：2601001岗</t>
  </si>
  <si>
    <t>序号</t>
  </si>
  <si>
    <t>姓名</t>
  </si>
  <si>
    <t>性别</t>
  </si>
  <si>
    <t>准考证号</t>
  </si>
  <si>
    <t>笔试成绩</t>
  </si>
  <si>
    <t>面试成绩</t>
  </si>
  <si>
    <t>综合成绩（笔试50%+面试50%）</t>
  </si>
  <si>
    <t>是否进入体检、
政审环节</t>
  </si>
  <si>
    <t>备注</t>
  </si>
  <si>
    <t>冯浩康</t>
  </si>
  <si>
    <t>男</t>
  </si>
  <si>
    <t>是</t>
  </si>
  <si>
    <t>江俊彬</t>
  </si>
  <si>
    <t>李成龙</t>
  </si>
  <si>
    <t>高梓健</t>
  </si>
  <si>
    <t>梁展荣</t>
  </si>
  <si>
    <t>陈浩蓝</t>
  </si>
  <si>
    <t>林熙</t>
  </si>
  <si>
    <t>龙威豪</t>
  </si>
  <si>
    <t>李承志</t>
  </si>
  <si>
    <t>连志卿</t>
  </si>
  <si>
    <t>黄英豪</t>
  </si>
  <si>
    <t>梁鸿圣</t>
  </si>
  <si>
    <t>关伟信</t>
  </si>
  <si>
    <t>苏荻</t>
  </si>
  <si>
    <t>刘星</t>
  </si>
  <si>
    <t>李名钦</t>
  </si>
  <si>
    <t>否</t>
  </si>
  <si>
    <t>郑宇良</t>
  </si>
  <si>
    <t>薛小虎</t>
  </si>
  <si>
    <t>林芃</t>
  </si>
  <si>
    <t>黄梓桦</t>
  </si>
  <si>
    <t>顾志杰</t>
  </si>
  <si>
    <t>张旻</t>
  </si>
  <si>
    <t>刘展坤</t>
  </si>
  <si>
    <t>邹彬</t>
  </si>
  <si>
    <t>刘瑞生</t>
  </si>
  <si>
    <t>黄元仪</t>
  </si>
  <si>
    <t>何沛林</t>
  </si>
  <si>
    <t>梁庆</t>
  </si>
  <si>
    <t>陈社援</t>
  </si>
  <si>
    <t>黄志龙</t>
  </si>
  <si>
    <t>熊俊达</t>
  </si>
  <si>
    <t>林开衍</t>
  </si>
  <si>
    <t>刘荣俊</t>
  </si>
  <si>
    <t>植铭杰</t>
  </si>
  <si>
    <t>陈彭宗舜</t>
  </si>
  <si>
    <t>郑少添</t>
  </si>
  <si>
    <t>黄照源</t>
  </si>
  <si>
    <t>林观钦</t>
  </si>
  <si>
    <t>丁煌杰</t>
  </si>
  <si>
    <t>潘庆延</t>
  </si>
  <si>
    <t>何沛鸿</t>
  </si>
  <si>
    <t>李晨灿</t>
  </si>
  <si>
    <t>陈天宇</t>
  </si>
  <si>
    <t>孔令锦</t>
  </si>
  <si>
    <t>吴子健</t>
  </si>
  <si>
    <t>招聘岗位：2601002岗</t>
  </si>
  <si>
    <t>景妍</t>
  </si>
  <si>
    <t>女</t>
  </si>
  <si>
    <t>蓝玉萍</t>
  </si>
  <si>
    <t>高碧谣</t>
  </si>
  <si>
    <t>蔡家蔚</t>
  </si>
  <si>
    <t>刘佩珊</t>
  </si>
  <si>
    <t>温雅茜</t>
  </si>
  <si>
    <t>林慧</t>
  </si>
  <si>
    <t>邵嘉茹</t>
  </si>
  <si>
    <t>吴佳颖</t>
  </si>
  <si>
    <t>杨晨</t>
  </si>
  <si>
    <t>梁诗雯</t>
  </si>
  <si>
    <t>覃晓慧</t>
  </si>
  <si>
    <t>徐嘉君</t>
  </si>
  <si>
    <t>程洁静</t>
  </si>
  <si>
    <t>邝茵桃</t>
  </si>
  <si>
    <t>缺考</t>
  </si>
  <si>
    <t>李雪怡</t>
  </si>
  <si>
    <t>招聘岗位：2601003岗</t>
  </si>
  <si>
    <t>姚石环</t>
  </si>
  <si>
    <t>孙宇钒</t>
  </si>
  <si>
    <t>黎敏斌</t>
  </si>
  <si>
    <t>李嘉明</t>
  </si>
  <si>
    <t>黄沂修</t>
  </si>
  <si>
    <t>黄俊人</t>
  </si>
  <si>
    <t>吴荣锋</t>
  </si>
  <si>
    <t>许文迪</t>
  </si>
  <si>
    <t>文泽瑜</t>
  </si>
  <si>
    <t>招聘岗位：2601004岗</t>
  </si>
  <si>
    <t>何映倩</t>
  </si>
  <si>
    <t xml:space="preserve">女 </t>
  </si>
  <si>
    <t>何健敏</t>
  </si>
  <si>
    <t>张洁敏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</si>
</sst>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2"/>
      <name val="宋体"/>
      <charset val="134"/>
    </font>
    <font>
      <b/>
      <sz val="16"/>
      <name val="方正小标宋简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b/>
      <sz val="10"/>
      <color indexed="8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b/>
      <sz val="18"/>
      <name val="方正小标宋简体"/>
      <charset val="134"/>
    </font>
    <font>
      <sz val="16"/>
      <name val="宋体"/>
      <charset val="134"/>
    </font>
    <font>
      <sz val="11"/>
      <name val="宋体"/>
      <charset val="134"/>
    </font>
    <font>
      <sz val="12"/>
      <color indexed="8"/>
      <name val="宋体"/>
      <charset val="134"/>
    </font>
    <font>
      <u/>
      <sz val="12"/>
      <color indexed="12"/>
      <name val="宋体"/>
      <charset val="134"/>
    </font>
    <font>
      <u/>
      <sz val="12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16"/>
      <name val="宋体"/>
      <charset val="134"/>
    </font>
    <font>
      <sz val="11"/>
      <color indexed="19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0"/>
      <name val="MS Sans Serif"/>
      <charset val="0"/>
    </font>
  </fonts>
  <fills count="20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RowLevel_1" xfId="49"/>
    <cellStyle name="ColLevel_1" xfId="5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D9E1F2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home\user\.wxwork_local\data\1688849901052758_1970325079031103\Cache\File\58199-06\&#38754;&#35797;&#25104;&#32489;&#35745;&#20998;&#34920;&#65288;&#31354;&#34920;&#24050;&#21547;&#20844;&#24335;&#65289;3.24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考生成绩"/>
      <sheetName val="汇总表"/>
    </sheetNames>
    <sheetDataSet>
      <sheetData sheetId="0"/>
      <sheetData sheetId="1">
        <row r="4">
          <cell r="B4" t="str">
            <v>陈彭宗舜</v>
          </cell>
          <cell r="C4">
            <v>62</v>
          </cell>
          <cell r="D4">
            <v>70</v>
          </cell>
          <cell r="E4">
            <v>64.5</v>
          </cell>
          <cell r="F4">
            <v>69.5</v>
          </cell>
          <cell r="G4">
            <v>66</v>
          </cell>
          <cell r="H4">
            <v>200</v>
          </cell>
          <cell r="I4">
            <v>66.6666666666667</v>
          </cell>
        </row>
        <row r="5">
          <cell r="B5" t="str">
            <v>关伟信</v>
          </cell>
          <cell r="C5">
            <v>82</v>
          </cell>
          <cell r="D5">
            <v>58.5</v>
          </cell>
          <cell r="E5">
            <v>68.5</v>
          </cell>
          <cell r="F5">
            <v>77.5</v>
          </cell>
          <cell r="G5">
            <v>62</v>
          </cell>
          <cell r="H5">
            <v>208</v>
          </cell>
          <cell r="I5">
            <v>69.3333333333333</v>
          </cell>
        </row>
        <row r="6">
          <cell r="B6" t="str">
            <v>李成龙</v>
          </cell>
          <cell r="C6">
            <v>87</v>
          </cell>
          <cell r="D6">
            <v>88</v>
          </cell>
          <cell r="E6">
            <v>85</v>
          </cell>
          <cell r="F6">
            <v>90</v>
          </cell>
          <cell r="G6">
            <v>86</v>
          </cell>
          <cell r="H6">
            <v>261</v>
          </cell>
          <cell r="I6">
            <v>87</v>
          </cell>
        </row>
        <row r="7">
          <cell r="B7" t="str">
            <v>李承志</v>
          </cell>
          <cell r="C7">
            <v>84</v>
          </cell>
          <cell r="D7">
            <v>66</v>
          </cell>
          <cell r="E7">
            <v>70.5</v>
          </cell>
          <cell r="F7">
            <v>87</v>
          </cell>
          <cell r="G7">
            <v>68.5</v>
          </cell>
          <cell r="H7">
            <v>223</v>
          </cell>
          <cell r="I7">
            <v>74.3333333333333</v>
          </cell>
        </row>
        <row r="8">
          <cell r="B8" t="str">
            <v>刘展坤</v>
          </cell>
          <cell r="C8">
            <v>71</v>
          </cell>
          <cell r="D8">
            <v>59.5</v>
          </cell>
          <cell r="E8">
            <v>72.5</v>
          </cell>
          <cell r="F8">
            <v>62.5</v>
          </cell>
          <cell r="G8">
            <v>63</v>
          </cell>
          <cell r="H8">
            <v>196.5</v>
          </cell>
          <cell r="I8">
            <v>65.5</v>
          </cell>
        </row>
        <row r="9">
          <cell r="B9" t="str">
            <v>丁煌杰</v>
          </cell>
          <cell r="C9">
            <v>67</v>
          </cell>
          <cell r="D9">
            <v>55</v>
          </cell>
          <cell r="E9">
            <v>69</v>
          </cell>
          <cell r="F9">
            <v>63</v>
          </cell>
          <cell r="G9">
            <v>66</v>
          </cell>
          <cell r="H9">
            <v>196</v>
          </cell>
          <cell r="I9">
            <v>65.3333333333333</v>
          </cell>
        </row>
        <row r="10">
          <cell r="B10" t="str">
            <v>陈天宇</v>
          </cell>
          <cell r="C10">
            <v>49</v>
          </cell>
          <cell r="D10">
            <v>47</v>
          </cell>
          <cell r="E10">
            <v>44</v>
          </cell>
          <cell r="F10">
            <v>50</v>
          </cell>
          <cell r="G10">
            <v>42</v>
          </cell>
          <cell r="H10">
            <v>140</v>
          </cell>
          <cell r="I10">
            <v>46.6666666666667</v>
          </cell>
        </row>
        <row r="11">
          <cell r="B11" t="str">
            <v>李名钦</v>
          </cell>
          <cell r="C11">
            <v>80</v>
          </cell>
          <cell r="D11">
            <v>85</v>
          </cell>
          <cell r="E11">
            <v>85</v>
          </cell>
          <cell r="F11">
            <v>81.5</v>
          </cell>
          <cell r="G11">
            <v>72</v>
          </cell>
          <cell r="H11">
            <v>246.5</v>
          </cell>
          <cell r="I11">
            <v>82.1666666666667</v>
          </cell>
        </row>
        <row r="12">
          <cell r="B12" t="str">
            <v>冯浩康</v>
          </cell>
          <cell r="C12">
            <v>88</v>
          </cell>
          <cell r="D12">
            <v>90</v>
          </cell>
          <cell r="E12">
            <v>87.5</v>
          </cell>
          <cell r="F12">
            <v>89.5</v>
          </cell>
          <cell r="G12">
            <v>80.5</v>
          </cell>
          <cell r="H12">
            <v>265</v>
          </cell>
          <cell r="I12">
            <v>88.3333333333333</v>
          </cell>
        </row>
        <row r="13">
          <cell r="B13" t="str">
            <v>陈浩蓝</v>
          </cell>
          <cell r="C13">
            <v>83</v>
          </cell>
          <cell r="D13">
            <v>87.5</v>
          </cell>
          <cell r="E13">
            <v>87.5</v>
          </cell>
          <cell r="F13">
            <v>86.5</v>
          </cell>
          <cell r="G13">
            <v>78</v>
          </cell>
          <cell r="H13">
            <v>257</v>
          </cell>
          <cell r="I13">
            <v>85.6666666666667</v>
          </cell>
        </row>
        <row r="14">
          <cell r="B14" t="str">
            <v>孔令锦</v>
          </cell>
          <cell r="C14">
            <v>29</v>
          </cell>
          <cell r="D14">
            <v>41</v>
          </cell>
          <cell r="E14">
            <v>43.5</v>
          </cell>
          <cell r="F14">
            <v>24</v>
          </cell>
          <cell r="G14">
            <v>32</v>
          </cell>
          <cell r="H14">
            <v>102</v>
          </cell>
          <cell r="I14">
            <v>34</v>
          </cell>
        </row>
        <row r="15">
          <cell r="B15" t="str">
            <v>连志卿</v>
          </cell>
          <cell r="C15">
            <v>76.5</v>
          </cell>
          <cell r="D15">
            <v>76</v>
          </cell>
          <cell r="E15">
            <v>73</v>
          </cell>
          <cell r="F15">
            <v>82</v>
          </cell>
          <cell r="G15">
            <v>72</v>
          </cell>
          <cell r="H15">
            <v>225.5</v>
          </cell>
          <cell r="I15">
            <v>75.1666666666667</v>
          </cell>
        </row>
        <row r="16">
          <cell r="B16" t="str">
            <v>陈社援</v>
          </cell>
          <cell r="C16">
            <v>72</v>
          </cell>
          <cell r="D16">
            <v>66</v>
          </cell>
          <cell r="E16">
            <v>71</v>
          </cell>
          <cell r="F16">
            <v>66.5</v>
          </cell>
          <cell r="G16">
            <v>72.5</v>
          </cell>
          <cell r="H16">
            <v>209.5</v>
          </cell>
          <cell r="I16">
            <v>69.8333333333333</v>
          </cell>
        </row>
        <row r="17">
          <cell r="B17" t="str">
            <v>刘荣俊</v>
          </cell>
          <cell r="C17">
            <v>67.5</v>
          </cell>
          <cell r="D17">
            <v>73</v>
          </cell>
          <cell r="E17">
            <v>75</v>
          </cell>
          <cell r="F17">
            <v>71</v>
          </cell>
          <cell r="G17">
            <v>73.5</v>
          </cell>
          <cell r="H17">
            <v>217.5</v>
          </cell>
          <cell r="I17">
            <v>72.5</v>
          </cell>
        </row>
        <row r="18">
          <cell r="B18" t="str">
            <v>苏荻</v>
          </cell>
          <cell r="C18">
            <v>77</v>
          </cell>
          <cell r="D18">
            <v>85</v>
          </cell>
          <cell r="E18">
            <v>85</v>
          </cell>
          <cell r="F18">
            <v>81.5</v>
          </cell>
          <cell r="G18">
            <v>60</v>
          </cell>
          <cell r="H18">
            <v>243.5</v>
          </cell>
          <cell r="I18">
            <v>81.1666666666667</v>
          </cell>
        </row>
        <row r="19">
          <cell r="B19" t="str">
            <v>江俊彬</v>
          </cell>
          <cell r="C19">
            <v>87.5</v>
          </cell>
          <cell r="D19">
            <v>80</v>
          </cell>
          <cell r="E19">
            <v>81.5</v>
          </cell>
          <cell r="F19">
            <v>85.5</v>
          </cell>
          <cell r="G19">
            <v>80</v>
          </cell>
          <cell r="H19">
            <v>247</v>
          </cell>
          <cell r="I19">
            <v>82.3333333333333</v>
          </cell>
        </row>
        <row r="20">
          <cell r="B20" t="str">
            <v>龙威豪</v>
          </cell>
          <cell r="C20">
            <v>86.5</v>
          </cell>
          <cell r="D20">
            <v>81</v>
          </cell>
          <cell r="E20">
            <v>78.5</v>
          </cell>
          <cell r="F20">
            <v>87</v>
          </cell>
          <cell r="G20">
            <v>83.5</v>
          </cell>
          <cell r="H20">
            <v>251</v>
          </cell>
          <cell r="I20">
            <v>83.6666666666667</v>
          </cell>
        </row>
        <row r="21">
          <cell r="B21" t="str">
            <v>李晨灿</v>
          </cell>
          <cell r="C21">
            <v>55</v>
          </cell>
          <cell r="D21">
            <v>46</v>
          </cell>
          <cell r="E21">
            <v>43.5</v>
          </cell>
          <cell r="F21">
            <v>49.5</v>
          </cell>
          <cell r="G21">
            <v>47</v>
          </cell>
          <cell r="H21">
            <v>142.5</v>
          </cell>
          <cell r="I21">
            <v>47.5</v>
          </cell>
        </row>
        <row r="22">
          <cell r="B22" t="str">
            <v>何沛鸿</v>
          </cell>
          <cell r="C22">
            <v>55</v>
          </cell>
          <cell r="D22">
            <v>51.5</v>
          </cell>
          <cell r="E22">
            <v>63.5</v>
          </cell>
          <cell r="F22">
            <v>41</v>
          </cell>
          <cell r="G22">
            <v>64.5</v>
          </cell>
          <cell r="H22">
            <v>170</v>
          </cell>
          <cell r="I22">
            <v>56.6666666666667</v>
          </cell>
        </row>
        <row r="23">
          <cell r="B23" t="str">
            <v>吴子健</v>
          </cell>
          <cell r="C23">
            <v>16</v>
          </cell>
          <cell r="D23">
            <v>41</v>
          </cell>
          <cell r="E23">
            <v>38</v>
          </cell>
          <cell r="F23">
            <v>24</v>
          </cell>
          <cell r="G23">
            <v>32</v>
          </cell>
          <cell r="H23">
            <v>94</v>
          </cell>
          <cell r="I23">
            <v>31.3333333333333</v>
          </cell>
        </row>
        <row r="24">
          <cell r="B24" t="str">
            <v>刘瑞生</v>
          </cell>
          <cell r="C24">
            <v>75.5</v>
          </cell>
          <cell r="D24">
            <v>78</v>
          </cell>
          <cell r="E24">
            <v>75</v>
          </cell>
          <cell r="F24">
            <v>77.5</v>
          </cell>
          <cell r="G24">
            <v>74</v>
          </cell>
          <cell r="H24">
            <v>228</v>
          </cell>
          <cell r="I24">
            <v>76</v>
          </cell>
        </row>
        <row r="25">
          <cell r="B25" t="str">
            <v>邹彬</v>
          </cell>
          <cell r="C25">
            <v>82</v>
          </cell>
          <cell r="D25">
            <v>62</v>
          </cell>
          <cell r="E25">
            <v>70</v>
          </cell>
          <cell r="F25">
            <v>67.5</v>
          </cell>
          <cell r="G25">
            <v>72.5</v>
          </cell>
          <cell r="H25">
            <v>210</v>
          </cell>
          <cell r="I25">
            <v>70</v>
          </cell>
        </row>
        <row r="26">
          <cell r="B26" t="str">
            <v>刘星</v>
          </cell>
          <cell r="C26">
            <v>82</v>
          </cell>
          <cell r="D26">
            <v>78</v>
          </cell>
          <cell r="E26">
            <v>73.5</v>
          </cell>
          <cell r="F26">
            <v>82</v>
          </cell>
          <cell r="G26">
            <v>77</v>
          </cell>
          <cell r="H26">
            <v>237</v>
          </cell>
          <cell r="I26">
            <v>79</v>
          </cell>
        </row>
        <row r="27">
          <cell r="B27" t="str">
            <v>张旻</v>
          </cell>
          <cell r="C27">
            <v>82</v>
          </cell>
          <cell r="D27">
            <v>76</v>
          </cell>
          <cell r="E27">
            <v>80</v>
          </cell>
          <cell r="F27">
            <v>74</v>
          </cell>
          <cell r="G27">
            <v>71.5</v>
          </cell>
          <cell r="H27">
            <v>230</v>
          </cell>
          <cell r="I27">
            <v>76.6666666666667</v>
          </cell>
        </row>
        <row r="28">
          <cell r="B28" t="str">
            <v>何沛林</v>
          </cell>
          <cell r="C28">
            <v>81</v>
          </cell>
          <cell r="D28">
            <v>76</v>
          </cell>
          <cell r="E28">
            <v>75</v>
          </cell>
          <cell r="F28">
            <v>61</v>
          </cell>
          <cell r="G28">
            <v>67</v>
          </cell>
          <cell r="H28">
            <v>218</v>
          </cell>
          <cell r="I28">
            <v>72.6666666666667</v>
          </cell>
        </row>
        <row r="29">
          <cell r="B29" t="str">
            <v>郑少添</v>
          </cell>
          <cell r="C29">
            <v>74.5</v>
          </cell>
          <cell r="D29">
            <v>58</v>
          </cell>
          <cell r="E29">
            <v>73.5</v>
          </cell>
          <cell r="F29">
            <v>68</v>
          </cell>
          <cell r="G29">
            <v>64</v>
          </cell>
          <cell r="H29">
            <v>205.5</v>
          </cell>
          <cell r="I29">
            <v>68.5</v>
          </cell>
        </row>
        <row r="30">
          <cell r="B30" t="str">
            <v>黄英豪</v>
          </cell>
          <cell r="C30">
            <v>88.5</v>
          </cell>
          <cell r="D30">
            <v>80.5</v>
          </cell>
          <cell r="E30">
            <v>81</v>
          </cell>
          <cell r="F30">
            <v>83.5</v>
          </cell>
          <cell r="G30">
            <v>80</v>
          </cell>
          <cell r="H30">
            <v>245</v>
          </cell>
          <cell r="I30">
            <v>81.6666666666667</v>
          </cell>
        </row>
        <row r="31">
          <cell r="B31" t="str">
            <v>黄梓桦</v>
          </cell>
          <cell r="C31">
            <v>76</v>
          </cell>
          <cell r="D31">
            <v>78.5</v>
          </cell>
          <cell r="E31">
            <v>74.5</v>
          </cell>
          <cell r="F31">
            <v>79.5</v>
          </cell>
          <cell r="G31">
            <v>73.5</v>
          </cell>
          <cell r="H31">
            <v>229</v>
          </cell>
          <cell r="I31">
            <v>76.3333333333333</v>
          </cell>
        </row>
        <row r="32">
          <cell r="B32" t="str">
            <v>黄照源</v>
          </cell>
          <cell r="C32">
            <v>74</v>
          </cell>
          <cell r="D32">
            <v>66.5</v>
          </cell>
          <cell r="E32">
            <v>67</v>
          </cell>
          <cell r="F32">
            <v>65.5</v>
          </cell>
          <cell r="G32">
            <v>68</v>
          </cell>
          <cell r="H32">
            <v>201.5</v>
          </cell>
          <cell r="I32">
            <v>67.1666666666667</v>
          </cell>
        </row>
        <row r="33">
          <cell r="B33" t="str">
            <v>林观钦</v>
          </cell>
          <cell r="C33">
            <v>74</v>
          </cell>
          <cell r="D33">
            <v>55.5</v>
          </cell>
          <cell r="E33">
            <v>72.5</v>
          </cell>
          <cell r="F33">
            <v>64</v>
          </cell>
          <cell r="G33">
            <v>69</v>
          </cell>
          <cell r="H33">
            <v>205.5</v>
          </cell>
          <cell r="I33">
            <v>68.5</v>
          </cell>
        </row>
        <row r="34">
          <cell r="B34" t="str">
            <v>林熙</v>
          </cell>
          <cell r="C34">
            <v>90.5</v>
          </cell>
          <cell r="D34">
            <v>87.5</v>
          </cell>
          <cell r="E34">
            <v>81</v>
          </cell>
          <cell r="F34">
            <v>86.5</v>
          </cell>
          <cell r="G34">
            <v>78.5</v>
          </cell>
          <cell r="H34">
            <v>255</v>
          </cell>
          <cell r="I34">
            <v>85</v>
          </cell>
        </row>
        <row r="35">
          <cell r="B35" t="str">
            <v>梁鸿圣</v>
          </cell>
          <cell r="C35">
            <v>80</v>
          </cell>
          <cell r="D35">
            <v>87</v>
          </cell>
          <cell r="E35">
            <v>86</v>
          </cell>
          <cell r="F35">
            <v>85</v>
          </cell>
          <cell r="G35">
            <v>79</v>
          </cell>
          <cell r="H35">
            <v>251</v>
          </cell>
          <cell r="I35">
            <v>83.6666666666667</v>
          </cell>
        </row>
        <row r="36">
          <cell r="B36" t="str">
            <v>郑宇良</v>
          </cell>
          <cell r="C36">
            <v>77.5</v>
          </cell>
          <cell r="D36">
            <v>81</v>
          </cell>
          <cell r="E36">
            <v>76.5</v>
          </cell>
          <cell r="F36">
            <v>79</v>
          </cell>
          <cell r="G36">
            <v>74.5</v>
          </cell>
          <cell r="H36">
            <v>233</v>
          </cell>
          <cell r="I36">
            <v>77.6666666666667</v>
          </cell>
        </row>
        <row r="37">
          <cell r="B37" t="str">
            <v>熊俊达</v>
          </cell>
          <cell r="C37">
            <v>73.5</v>
          </cell>
          <cell r="D37">
            <v>79.5</v>
          </cell>
          <cell r="E37">
            <v>79.5</v>
          </cell>
          <cell r="F37">
            <v>73</v>
          </cell>
          <cell r="G37">
            <v>71</v>
          </cell>
          <cell r="H37">
            <v>226</v>
          </cell>
          <cell r="I37">
            <v>75.3333333333333</v>
          </cell>
        </row>
        <row r="38">
          <cell r="B38" t="str">
            <v>林芃</v>
          </cell>
          <cell r="C38">
            <v>79.5</v>
          </cell>
          <cell r="D38">
            <v>77.5</v>
          </cell>
          <cell r="E38">
            <v>80.5</v>
          </cell>
          <cell r="F38">
            <v>78.5</v>
          </cell>
          <cell r="G38">
            <v>78</v>
          </cell>
          <cell r="H38">
            <v>236</v>
          </cell>
          <cell r="I38">
            <v>78.6666666666667</v>
          </cell>
        </row>
        <row r="39">
          <cell r="B39" t="str">
            <v>顾志杰</v>
          </cell>
          <cell r="C39">
            <v>70</v>
          </cell>
          <cell r="D39">
            <v>79.5</v>
          </cell>
          <cell r="E39">
            <v>73</v>
          </cell>
          <cell r="F39">
            <v>81.5</v>
          </cell>
          <cell r="G39">
            <v>70</v>
          </cell>
          <cell r="H39">
            <v>222.5</v>
          </cell>
          <cell r="I39">
            <v>74.1666666666667</v>
          </cell>
        </row>
        <row r="40">
          <cell r="B40" t="str">
            <v>潘庆延</v>
          </cell>
          <cell r="C40">
            <v>59.5</v>
          </cell>
          <cell r="D40">
            <v>66</v>
          </cell>
          <cell r="E40">
            <v>68.5</v>
          </cell>
          <cell r="F40">
            <v>51.5</v>
          </cell>
          <cell r="G40">
            <v>64.5</v>
          </cell>
          <cell r="H40">
            <v>190</v>
          </cell>
          <cell r="I40">
            <v>63.3333333333333</v>
          </cell>
        </row>
        <row r="41">
          <cell r="B41" t="str">
            <v>黄志龙</v>
          </cell>
          <cell r="C41">
            <v>78.5</v>
          </cell>
          <cell r="D41">
            <v>81.5</v>
          </cell>
          <cell r="E41">
            <v>77</v>
          </cell>
          <cell r="F41">
            <v>69</v>
          </cell>
          <cell r="G41">
            <v>66</v>
          </cell>
          <cell r="H41">
            <v>224.5</v>
          </cell>
          <cell r="I41">
            <v>74.8333333333333</v>
          </cell>
        </row>
        <row r="42">
          <cell r="B42" t="str">
            <v>林开衍</v>
          </cell>
          <cell r="C42">
            <v>65.5</v>
          </cell>
          <cell r="D42">
            <v>68</v>
          </cell>
          <cell r="E42">
            <v>72.5</v>
          </cell>
          <cell r="F42">
            <v>49</v>
          </cell>
          <cell r="G42">
            <v>66</v>
          </cell>
          <cell r="H42">
            <v>199.5</v>
          </cell>
          <cell r="I42">
            <v>66.5</v>
          </cell>
        </row>
        <row r="43">
          <cell r="B43" t="str">
            <v>高梓健</v>
          </cell>
          <cell r="C43">
            <v>82.5</v>
          </cell>
          <cell r="D43">
            <v>81</v>
          </cell>
          <cell r="E43">
            <v>86.5</v>
          </cell>
          <cell r="F43">
            <v>85</v>
          </cell>
          <cell r="G43">
            <v>79.5</v>
          </cell>
          <cell r="H43">
            <v>248.5</v>
          </cell>
          <cell r="I43">
            <v>82.8333333333333</v>
          </cell>
        </row>
        <row r="44">
          <cell r="B44" t="str">
            <v>梁庆</v>
          </cell>
          <cell r="C44">
            <v>78.5</v>
          </cell>
          <cell r="D44">
            <v>58</v>
          </cell>
          <cell r="E44">
            <v>78.5</v>
          </cell>
          <cell r="F44">
            <v>67</v>
          </cell>
          <cell r="G44">
            <v>73</v>
          </cell>
          <cell r="H44">
            <v>218.5</v>
          </cell>
          <cell r="I44">
            <v>72.8333333333333</v>
          </cell>
        </row>
        <row r="45">
          <cell r="B45" t="str">
            <v>薛小虎</v>
          </cell>
          <cell r="C45">
            <v>83</v>
          </cell>
          <cell r="D45">
            <v>83</v>
          </cell>
          <cell r="E45">
            <v>79</v>
          </cell>
          <cell r="F45">
            <v>82</v>
          </cell>
          <cell r="G45">
            <v>82</v>
          </cell>
          <cell r="H45">
            <v>247</v>
          </cell>
          <cell r="I45">
            <v>82.3333333333333</v>
          </cell>
        </row>
        <row r="46">
          <cell r="B46" t="str">
            <v>梁展荣</v>
          </cell>
          <cell r="C46">
            <v>82.5</v>
          </cell>
          <cell r="D46">
            <v>86.5</v>
          </cell>
          <cell r="E46">
            <v>79</v>
          </cell>
          <cell r="F46">
            <v>74.5</v>
          </cell>
          <cell r="G46">
            <v>76.5</v>
          </cell>
          <cell r="H46">
            <v>238</v>
          </cell>
          <cell r="I46">
            <v>79.3333333333333</v>
          </cell>
        </row>
        <row r="47">
          <cell r="B47" t="str">
            <v>植铭杰</v>
          </cell>
          <cell r="C47">
            <v>71</v>
          </cell>
          <cell r="D47">
            <v>57</v>
          </cell>
          <cell r="E47">
            <v>72.5</v>
          </cell>
          <cell r="F47">
            <v>69</v>
          </cell>
          <cell r="G47">
            <v>68</v>
          </cell>
          <cell r="H47">
            <v>208</v>
          </cell>
          <cell r="I47">
            <v>69.3333333333333</v>
          </cell>
        </row>
        <row r="48">
          <cell r="B48" t="str">
            <v>黄元仪</v>
          </cell>
          <cell r="C48">
            <v>76.5</v>
          </cell>
          <cell r="D48">
            <v>80.5</v>
          </cell>
          <cell r="E48">
            <v>75</v>
          </cell>
          <cell r="F48">
            <v>70</v>
          </cell>
          <cell r="G48">
            <v>69.5</v>
          </cell>
          <cell r="H48">
            <v>221.5</v>
          </cell>
          <cell r="I48">
            <v>73.8333333333333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H48"/>
  <sheetViews>
    <sheetView showGridLines="0" tabSelected="1" zoomScale="85" zoomScaleNormal="85" zoomScaleSheetLayoutView="60" workbookViewId="0">
      <selection activeCell="A1" sqref="A1:I1"/>
    </sheetView>
  </sheetViews>
  <sheetFormatPr defaultColWidth="8.625" defaultRowHeight="15"/>
  <cols>
    <col min="1" max="1" width="4.5" style="24" customWidth="1"/>
    <col min="2" max="2" width="7.375" style="25" customWidth="1"/>
    <col min="3" max="3" width="4.625" style="24" customWidth="1"/>
    <col min="4" max="4" width="12.05" style="20" customWidth="1"/>
    <col min="5" max="6" width="10.4416666666667" style="20" customWidth="1"/>
    <col min="7" max="8" width="14.5583333333333" style="20" customWidth="1"/>
    <col min="9" max="9" width="14.9833333333333" style="5" customWidth="1"/>
    <col min="10" max="17" width="9" style="24" customWidth="1"/>
    <col min="18" max="241" width="8.625" style="24" customWidth="1"/>
    <col min="242" max="16384" width="8.625" style="24"/>
  </cols>
  <sheetData>
    <row r="1" s="19" customFormat="1" ht="50" customHeight="1" spans="1:242">
      <c r="A1" s="16" t="s">
        <v>0</v>
      </c>
      <c r="B1" s="16"/>
      <c r="C1" s="16"/>
      <c r="D1" s="16"/>
      <c r="E1" s="16"/>
      <c r="F1" s="16"/>
      <c r="G1" s="16"/>
      <c r="H1" s="16"/>
      <c r="I1" s="17"/>
    </row>
    <row r="2" s="20" customFormat="1" ht="27.95" customHeight="1" spans="1:242">
      <c r="A2" s="4" t="s">
        <v>1</v>
      </c>
      <c r="B2" s="4"/>
      <c r="C2" s="4"/>
      <c r="D2" s="4"/>
      <c r="E2" s="4"/>
      <c r="F2" s="4"/>
      <c r="G2" s="4"/>
      <c r="H2" s="4"/>
      <c r="I2" s="5"/>
    </row>
    <row r="3" s="21" customFormat="1" ht="44" customHeight="1" spans="1:242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7" t="s">
        <v>10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</row>
    <row r="4" s="22" customFormat="1" ht="27.95" customHeight="1" spans="1:242">
      <c r="A4" s="8">
        <v>1</v>
      </c>
      <c r="B4" s="9" t="s">
        <v>11</v>
      </c>
      <c r="C4" s="10" t="s">
        <v>12</v>
      </c>
      <c r="D4" s="10">
        <v>2601001005</v>
      </c>
      <c r="E4" s="11">
        <v>78</v>
      </c>
      <c r="F4" s="11">
        <f>VLOOKUP(B4,[1]汇总表!$B$4:$I$48,8,0)</f>
        <v>88.3333333333333</v>
      </c>
      <c r="G4" s="11">
        <f t="shared" ref="G4:G48" si="0">E4/2+F4/2</f>
        <v>83.1666666666667</v>
      </c>
      <c r="H4" s="27" t="s">
        <v>13</v>
      </c>
      <c r="I4" s="13"/>
    </row>
    <row r="5" s="22" customFormat="1" ht="27.95" customHeight="1" spans="1:242">
      <c r="A5" s="8">
        <v>2</v>
      </c>
      <c r="B5" s="9" t="s">
        <v>14</v>
      </c>
      <c r="C5" s="10" t="s">
        <v>12</v>
      </c>
      <c r="D5" s="10">
        <v>2601001012</v>
      </c>
      <c r="E5" s="11">
        <v>82</v>
      </c>
      <c r="F5" s="11">
        <f>VLOOKUP(B5,[1]汇总表!$B$4:$I$48,8,0)</f>
        <v>82.3333333333333</v>
      </c>
      <c r="G5" s="11">
        <f t="shared" si="0"/>
        <v>82.1666666666667</v>
      </c>
      <c r="H5" s="27" t="s">
        <v>13</v>
      </c>
      <c r="I5" s="13"/>
    </row>
    <row r="6" s="22" customFormat="1" ht="27.95" customHeight="1" spans="1:242">
      <c r="A6" s="8">
        <v>3</v>
      </c>
      <c r="B6" s="9" t="s">
        <v>15</v>
      </c>
      <c r="C6" s="10" t="s">
        <v>12</v>
      </c>
      <c r="D6" s="10">
        <v>2601001014</v>
      </c>
      <c r="E6" s="11">
        <v>75</v>
      </c>
      <c r="F6" s="11">
        <f>VLOOKUP(B6,[1]汇总表!$B$4:$I$48,8,0)</f>
        <v>87</v>
      </c>
      <c r="G6" s="11">
        <f t="shared" si="0"/>
        <v>81</v>
      </c>
      <c r="H6" s="27" t="s">
        <v>13</v>
      </c>
      <c r="I6" s="13"/>
    </row>
    <row r="7" s="22" customFormat="1" ht="27.95" customHeight="1" spans="1:242">
      <c r="A7" s="8">
        <v>4</v>
      </c>
      <c r="B7" s="9" t="s">
        <v>16</v>
      </c>
      <c r="C7" s="10" t="s">
        <v>12</v>
      </c>
      <c r="D7" s="10">
        <v>2601001048</v>
      </c>
      <c r="E7" s="11">
        <v>77</v>
      </c>
      <c r="F7" s="11">
        <f>VLOOKUP(B7,[1]汇总表!$B$4:$I$48,8,0)</f>
        <v>82.8333333333333</v>
      </c>
      <c r="G7" s="11">
        <f t="shared" si="0"/>
        <v>79.9166666666667</v>
      </c>
      <c r="H7" s="27" t="s">
        <v>13</v>
      </c>
      <c r="I7" s="13"/>
    </row>
    <row r="8" s="22" customFormat="1" ht="27.95" customHeight="1" spans="1:242">
      <c r="A8" s="8">
        <v>5</v>
      </c>
      <c r="B8" s="9" t="s">
        <v>17</v>
      </c>
      <c r="C8" s="10" t="s">
        <v>12</v>
      </c>
      <c r="D8" s="10">
        <v>2601001058</v>
      </c>
      <c r="E8" s="11">
        <v>80</v>
      </c>
      <c r="F8" s="11">
        <f>VLOOKUP(B8,[1]汇总表!$B$4:$I$48,8,0)</f>
        <v>79.3333333333333</v>
      </c>
      <c r="G8" s="11">
        <f t="shared" si="0"/>
        <v>79.6666666666667</v>
      </c>
      <c r="H8" s="27" t="s">
        <v>13</v>
      </c>
      <c r="I8" s="13"/>
    </row>
    <row r="9" s="22" customFormat="1" ht="27.95" customHeight="1" spans="1:242">
      <c r="A9" s="8">
        <v>6</v>
      </c>
      <c r="B9" s="9" t="s">
        <v>18</v>
      </c>
      <c r="C9" s="10" t="s">
        <v>12</v>
      </c>
      <c r="D9" s="10">
        <v>2601001030</v>
      </c>
      <c r="E9" s="11">
        <v>73</v>
      </c>
      <c r="F9" s="11">
        <f>VLOOKUP(B9,[1]汇总表!$B$4:$I$48,8,0)</f>
        <v>85.6666666666667</v>
      </c>
      <c r="G9" s="11">
        <f t="shared" si="0"/>
        <v>79.3333333333333</v>
      </c>
      <c r="H9" s="27" t="s">
        <v>13</v>
      </c>
      <c r="I9" s="13"/>
    </row>
    <row r="10" s="23" customFormat="1" ht="27.95" customHeight="1" spans="1:242">
      <c r="A10" s="8">
        <v>7</v>
      </c>
      <c r="B10" s="9" t="s">
        <v>19</v>
      </c>
      <c r="C10" s="10" t="s">
        <v>12</v>
      </c>
      <c r="D10" s="10">
        <v>2601001038</v>
      </c>
      <c r="E10" s="11">
        <v>73.5</v>
      </c>
      <c r="F10" s="11">
        <f>VLOOKUP(B10,[1]汇总表!$B$4:$I$48,8,0)</f>
        <v>85</v>
      </c>
      <c r="G10" s="11">
        <f t="shared" si="0"/>
        <v>79.25</v>
      </c>
      <c r="H10" s="27" t="s">
        <v>13</v>
      </c>
      <c r="I10" s="13"/>
    </row>
    <row r="11" s="23" customFormat="1" ht="27.95" customHeight="1" spans="1:242">
      <c r="A11" s="8">
        <v>8</v>
      </c>
      <c r="B11" s="10" t="s">
        <v>20</v>
      </c>
      <c r="C11" s="10" t="s">
        <v>12</v>
      </c>
      <c r="D11" s="10">
        <v>2601001003</v>
      </c>
      <c r="E11" s="11">
        <v>74</v>
      </c>
      <c r="F11" s="11">
        <f>VLOOKUP(B11,[1]汇总表!$B$4:$I$48,8,0)</f>
        <v>83.6666666666667</v>
      </c>
      <c r="G11" s="11">
        <f t="shared" si="0"/>
        <v>78.8333333333333</v>
      </c>
      <c r="H11" s="27" t="s">
        <v>13</v>
      </c>
      <c r="I11" s="13"/>
    </row>
    <row r="12" s="23" customFormat="1" ht="27.95" customHeight="1" spans="1:242">
      <c r="A12" s="8">
        <v>9</v>
      </c>
      <c r="B12" s="9" t="s">
        <v>21</v>
      </c>
      <c r="C12" s="10" t="s">
        <v>12</v>
      </c>
      <c r="D12" s="10">
        <v>2601001016</v>
      </c>
      <c r="E12" s="11">
        <v>81</v>
      </c>
      <c r="F12" s="11">
        <f>VLOOKUP(B12,[1]汇总表!$B$4:$I$48,8,0)</f>
        <v>74.3333333333333</v>
      </c>
      <c r="G12" s="11">
        <f t="shared" si="0"/>
        <v>77.6666666666667</v>
      </c>
      <c r="H12" s="27" t="s">
        <v>13</v>
      </c>
      <c r="I12" s="13"/>
    </row>
    <row r="13" s="23" customFormat="1" ht="27.95" customHeight="1" spans="1:242">
      <c r="A13" s="8">
        <v>10</v>
      </c>
      <c r="B13" s="9" t="s">
        <v>22</v>
      </c>
      <c r="C13" s="10" t="s">
        <v>12</v>
      </c>
      <c r="D13" s="10">
        <v>2601001020</v>
      </c>
      <c r="E13" s="11">
        <v>80</v>
      </c>
      <c r="F13" s="11">
        <f>VLOOKUP(B13,[1]汇总表!$B$4:$I$48,8,0)</f>
        <v>75.1666666666667</v>
      </c>
      <c r="G13" s="11">
        <f t="shared" si="0"/>
        <v>77.5833333333333</v>
      </c>
      <c r="H13" s="27" t="s">
        <v>13</v>
      </c>
      <c r="I13" s="13"/>
    </row>
    <row r="14" s="23" customFormat="1" ht="27.95" customHeight="1" spans="1:242">
      <c r="A14" s="8">
        <v>11</v>
      </c>
      <c r="B14" s="10" t="s">
        <v>23</v>
      </c>
      <c r="C14" s="10" t="s">
        <v>12</v>
      </c>
      <c r="D14" s="10">
        <v>2601001051</v>
      </c>
      <c r="E14" s="11">
        <v>73.5</v>
      </c>
      <c r="F14" s="11">
        <f>VLOOKUP(B14,[1]汇总表!$B$4:$I$48,8,0)</f>
        <v>81.6666666666667</v>
      </c>
      <c r="G14" s="11">
        <f t="shared" si="0"/>
        <v>77.5833333333333</v>
      </c>
      <c r="H14" s="27" t="s">
        <v>13</v>
      </c>
      <c r="I14" s="13"/>
    </row>
    <row r="15" s="23" customFormat="1" ht="27.95" customHeight="1" spans="1:242">
      <c r="A15" s="8">
        <v>12</v>
      </c>
      <c r="B15" s="9" t="s">
        <v>24</v>
      </c>
      <c r="C15" s="10" t="s">
        <v>12</v>
      </c>
      <c r="D15" s="10">
        <v>2601001059</v>
      </c>
      <c r="E15" s="11">
        <v>70</v>
      </c>
      <c r="F15" s="11">
        <f>VLOOKUP(B15,[1]汇总表!$B$4:$I$48,8,0)</f>
        <v>83.6666666666667</v>
      </c>
      <c r="G15" s="11">
        <f t="shared" si="0"/>
        <v>76.8333333333333</v>
      </c>
      <c r="H15" s="27" t="s">
        <v>13</v>
      </c>
      <c r="I15" s="13"/>
    </row>
    <row r="16" s="23" customFormat="1" ht="27.95" customHeight="1" spans="1:242">
      <c r="A16" s="8">
        <v>13</v>
      </c>
      <c r="B16" s="9" t="s">
        <v>25</v>
      </c>
      <c r="C16" s="10" t="s">
        <v>12</v>
      </c>
      <c r="D16" s="10">
        <v>2601001011</v>
      </c>
      <c r="E16" s="11">
        <v>84</v>
      </c>
      <c r="F16" s="11">
        <f>VLOOKUP(B16,[1]汇总表!$B$4:$I$48,8,0)</f>
        <v>69.3333333333333</v>
      </c>
      <c r="G16" s="11">
        <f t="shared" si="0"/>
        <v>76.6666666666667</v>
      </c>
      <c r="H16" s="27" t="s">
        <v>13</v>
      </c>
      <c r="I16" s="13"/>
    </row>
    <row r="17" s="22" customFormat="1" ht="27.95" customHeight="1" spans="1:134">
      <c r="A17" s="8">
        <v>14</v>
      </c>
      <c r="B17" s="9" t="s">
        <v>26</v>
      </c>
      <c r="C17" s="10" t="s">
        <v>12</v>
      </c>
      <c r="D17" s="10">
        <v>2601001013</v>
      </c>
      <c r="E17" s="11">
        <v>72</v>
      </c>
      <c r="F17" s="11">
        <f>VLOOKUP(B17,[1]汇总表!$B$4:$I$48,8,0)</f>
        <v>81.1666666666667</v>
      </c>
      <c r="G17" s="11">
        <f t="shared" si="0"/>
        <v>76.5833333333333</v>
      </c>
      <c r="H17" s="27" t="s">
        <v>13</v>
      </c>
      <c r="I17" s="13"/>
    </row>
    <row r="18" s="22" customFormat="1" ht="27.95" customHeight="1" spans="1:134">
      <c r="A18" s="8">
        <v>15</v>
      </c>
      <c r="B18" s="9" t="s">
        <v>27</v>
      </c>
      <c r="C18" s="10" t="s">
        <v>12</v>
      </c>
      <c r="D18" s="10">
        <v>2601001008</v>
      </c>
      <c r="E18" s="11">
        <v>73.5</v>
      </c>
      <c r="F18" s="11">
        <f>VLOOKUP(B18,[1]汇总表!$B$4:$I$48,8,0)</f>
        <v>79</v>
      </c>
      <c r="G18" s="11">
        <f t="shared" si="0"/>
        <v>76.25</v>
      </c>
      <c r="H18" s="27" t="s">
        <v>13</v>
      </c>
      <c r="I18" s="13"/>
    </row>
    <row r="19" s="23" customFormat="1" ht="27.95" customHeight="1" spans="1:134">
      <c r="A19" s="8">
        <v>16</v>
      </c>
      <c r="B19" s="9" t="s">
        <v>28</v>
      </c>
      <c r="C19" s="10" t="s">
        <v>12</v>
      </c>
      <c r="D19" s="10">
        <v>2601001015</v>
      </c>
      <c r="E19" s="11">
        <v>70</v>
      </c>
      <c r="F19" s="11">
        <f>VLOOKUP(B19,[1]汇总表!$B$4:$I$48,8,0)</f>
        <v>82.1666666666667</v>
      </c>
      <c r="G19" s="11">
        <f t="shared" si="0"/>
        <v>76.0833333333333</v>
      </c>
      <c r="H19" s="10" t="s">
        <v>29</v>
      </c>
      <c r="I19" s="13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</row>
    <row r="20" s="23" customFormat="1" ht="27.95" customHeight="1" spans="1:134">
      <c r="A20" s="8">
        <v>17</v>
      </c>
      <c r="B20" s="10" t="s">
        <v>30</v>
      </c>
      <c r="C20" s="10" t="s">
        <v>12</v>
      </c>
      <c r="D20" s="10">
        <v>2601001043</v>
      </c>
      <c r="E20" s="11">
        <v>73.5</v>
      </c>
      <c r="F20" s="11">
        <f>VLOOKUP(B20,[1]汇总表!$B$4:$I$48,8,0)</f>
        <v>77.6666666666667</v>
      </c>
      <c r="G20" s="11">
        <f t="shared" si="0"/>
        <v>75.5833333333333</v>
      </c>
      <c r="H20" s="10" t="s">
        <v>29</v>
      </c>
      <c r="I20" s="13"/>
    </row>
    <row r="21" s="23" customFormat="1" ht="27.95" customHeight="1" spans="1:134">
      <c r="A21" s="8">
        <v>18</v>
      </c>
      <c r="B21" s="9" t="s">
        <v>31</v>
      </c>
      <c r="C21" s="10" t="s">
        <v>12</v>
      </c>
      <c r="D21" s="10">
        <v>2601001068</v>
      </c>
      <c r="E21" s="11">
        <v>68.5</v>
      </c>
      <c r="F21" s="11">
        <f>VLOOKUP(B21,[1]汇总表!$B$4:$I$48,8,0)</f>
        <v>82.3333333333333</v>
      </c>
      <c r="G21" s="11">
        <f t="shared" si="0"/>
        <v>75.4166666666667</v>
      </c>
      <c r="H21" s="10" t="s">
        <v>29</v>
      </c>
      <c r="I21" s="13"/>
    </row>
    <row r="22" s="23" customFormat="1" ht="27.95" customHeight="1" spans="1:134">
      <c r="A22" s="8">
        <v>19</v>
      </c>
      <c r="B22" s="9" t="s">
        <v>32</v>
      </c>
      <c r="C22" s="10" t="s">
        <v>12</v>
      </c>
      <c r="D22" s="10">
        <v>2601001035</v>
      </c>
      <c r="E22" s="11">
        <v>72</v>
      </c>
      <c r="F22" s="11">
        <f>VLOOKUP(B22,[1]汇总表!$B$4:$I$48,8,0)</f>
        <v>78.6666666666667</v>
      </c>
      <c r="G22" s="11">
        <f t="shared" si="0"/>
        <v>75.3333333333333</v>
      </c>
      <c r="H22" s="10" t="s">
        <v>29</v>
      </c>
      <c r="I22" s="13"/>
    </row>
    <row r="23" s="23" customFormat="1" ht="27.95" customHeight="1" spans="1:134">
      <c r="A23" s="8">
        <v>20</v>
      </c>
      <c r="B23" s="10" t="s">
        <v>33</v>
      </c>
      <c r="C23" s="10" t="s">
        <v>12</v>
      </c>
      <c r="D23" s="10">
        <v>2601001053</v>
      </c>
      <c r="E23" s="11">
        <v>71.5</v>
      </c>
      <c r="F23" s="11">
        <f>VLOOKUP(B23,[1]汇总表!$B$4:$I$48,8,0)</f>
        <v>76.3333333333333</v>
      </c>
      <c r="G23" s="11">
        <f t="shared" si="0"/>
        <v>73.9166666666667</v>
      </c>
      <c r="H23" s="10" t="s">
        <v>29</v>
      </c>
      <c r="I23" s="13"/>
    </row>
    <row r="24" s="23" customFormat="1" ht="27.95" customHeight="1" spans="1:134">
      <c r="A24" s="8">
        <v>21</v>
      </c>
      <c r="B24" s="10" t="s">
        <v>34</v>
      </c>
      <c r="C24" s="10" t="s">
        <v>12</v>
      </c>
      <c r="D24" s="10">
        <v>2601001046</v>
      </c>
      <c r="E24" s="11">
        <v>73</v>
      </c>
      <c r="F24" s="11">
        <f>VLOOKUP(B24,[1]汇总表!$B$4:$I$48,8,0)</f>
        <v>74.1666666666667</v>
      </c>
      <c r="G24" s="11">
        <f t="shared" si="0"/>
        <v>73.5833333333333</v>
      </c>
      <c r="H24" s="10" t="s">
        <v>29</v>
      </c>
      <c r="I24" s="13"/>
    </row>
    <row r="25" s="23" customFormat="1" ht="27.95" customHeight="1" spans="1:134">
      <c r="A25" s="8">
        <v>22</v>
      </c>
      <c r="B25" s="9" t="s">
        <v>35</v>
      </c>
      <c r="C25" s="10" t="s">
        <v>12</v>
      </c>
      <c r="D25" s="10">
        <v>2601001025</v>
      </c>
      <c r="E25" s="11">
        <v>70</v>
      </c>
      <c r="F25" s="11">
        <f>VLOOKUP(B25,[1]汇总表!$B$4:$I$48,8,0)</f>
        <v>76.6666666666667</v>
      </c>
      <c r="G25" s="11">
        <f t="shared" si="0"/>
        <v>73.3333333333333</v>
      </c>
      <c r="H25" s="10" t="s">
        <v>29</v>
      </c>
      <c r="I25" s="13"/>
    </row>
    <row r="26" s="22" customFormat="1" ht="27.95" customHeight="1" spans="1:134">
      <c r="A26" s="8">
        <v>23</v>
      </c>
      <c r="B26" s="10" t="s">
        <v>36</v>
      </c>
      <c r="C26" s="10" t="s">
        <v>12</v>
      </c>
      <c r="D26" s="10">
        <v>2601001009</v>
      </c>
      <c r="E26" s="11">
        <v>81</v>
      </c>
      <c r="F26" s="11">
        <f>VLOOKUP(B26,[1]汇总表!$B$4:$I$48,8,0)</f>
        <v>65.5</v>
      </c>
      <c r="G26" s="11">
        <f t="shared" si="0"/>
        <v>73.25</v>
      </c>
      <c r="H26" s="10" t="s">
        <v>29</v>
      </c>
      <c r="I26" s="13"/>
    </row>
    <row r="27" s="22" customFormat="1" ht="27.95" customHeight="1" spans="1:134">
      <c r="A27" s="8">
        <v>24</v>
      </c>
      <c r="B27" s="10" t="s">
        <v>37</v>
      </c>
      <c r="C27" s="10" t="s">
        <v>12</v>
      </c>
      <c r="D27" s="10">
        <v>2601001024</v>
      </c>
      <c r="E27" s="11">
        <v>76</v>
      </c>
      <c r="F27" s="11">
        <f>VLOOKUP(B27,[1]汇总表!$B$4:$I$48,8,0)</f>
        <v>70</v>
      </c>
      <c r="G27" s="11">
        <f t="shared" si="0"/>
        <v>73</v>
      </c>
      <c r="H27" s="10" t="s">
        <v>29</v>
      </c>
      <c r="I27" s="13"/>
    </row>
    <row r="28" s="22" customFormat="1" ht="27.95" customHeight="1" spans="1:134">
      <c r="A28" s="8">
        <v>25</v>
      </c>
      <c r="B28" s="9" t="s">
        <v>38</v>
      </c>
      <c r="C28" s="10" t="s">
        <v>12</v>
      </c>
      <c r="D28" s="10">
        <v>2601001010</v>
      </c>
      <c r="E28" s="11">
        <v>70</v>
      </c>
      <c r="F28" s="11">
        <f>VLOOKUP(B28,[1]汇总表!$B$4:$I$48,8,0)</f>
        <v>76</v>
      </c>
      <c r="G28" s="11">
        <f t="shared" si="0"/>
        <v>73</v>
      </c>
      <c r="H28" s="10" t="s">
        <v>29</v>
      </c>
      <c r="I28" s="13"/>
    </row>
    <row r="29" s="22" customFormat="1" ht="27.95" customHeight="1" spans="1:134">
      <c r="A29" s="8">
        <v>26</v>
      </c>
      <c r="B29" s="14" t="s">
        <v>39</v>
      </c>
      <c r="C29" s="10" t="s">
        <v>12</v>
      </c>
      <c r="D29" s="10">
        <v>2601001049</v>
      </c>
      <c r="E29" s="11">
        <v>72</v>
      </c>
      <c r="F29" s="11">
        <f>VLOOKUP(B29,[1]汇总表!$B$4:$I$48,8,0)</f>
        <v>73.8333333333333</v>
      </c>
      <c r="G29" s="11">
        <f t="shared" si="0"/>
        <v>72.9166666666667</v>
      </c>
      <c r="H29" s="10" t="s">
        <v>29</v>
      </c>
      <c r="I29" s="13"/>
    </row>
    <row r="30" s="22" customFormat="1" ht="27.95" customHeight="1" spans="1:134">
      <c r="A30" s="8">
        <v>27</v>
      </c>
      <c r="B30" s="10" t="s">
        <v>40</v>
      </c>
      <c r="C30" s="10" t="s">
        <v>12</v>
      </c>
      <c r="D30" s="10">
        <v>2601001022</v>
      </c>
      <c r="E30" s="11">
        <v>73</v>
      </c>
      <c r="F30" s="11">
        <f>VLOOKUP(B30,[1]汇总表!$B$4:$I$48,8,0)</f>
        <v>72.6666666666667</v>
      </c>
      <c r="G30" s="11">
        <f t="shared" si="0"/>
        <v>72.8333333333333</v>
      </c>
      <c r="H30" s="10" t="s">
        <v>29</v>
      </c>
      <c r="I30" s="13"/>
    </row>
    <row r="31" s="22" customFormat="1" ht="27.95" customHeight="1" spans="1:134">
      <c r="A31" s="8">
        <v>28</v>
      </c>
      <c r="B31" s="14" t="s">
        <v>41</v>
      </c>
      <c r="C31" s="10" t="s">
        <v>12</v>
      </c>
      <c r="D31" s="10">
        <v>2601001057</v>
      </c>
      <c r="E31" s="11">
        <v>71.5</v>
      </c>
      <c r="F31" s="11">
        <f>VLOOKUP(B31,[1]汇总表!$B$4:$I$48,8,0)</f>
        <v>72.8333333333333</v>
      </c>
      <c r="G31" s="11">
        <f t="shared" si="0"/>
        <v>72.1666666666667</v>
      </c>
      <c r="H31" s="10" t="s">
        <v>29</v>
      </c>
      <c r="I31" s="13"/>
    </row>
    <row r="32" customFormat="1" ht="27.95" customHeight="1" spans="1:134">
      <c r="A32" s="8">
        <v>29</v>
      </c>
      <c r="B32" s="9" t="s">
        <v>42</v>
      </c>
      <c r="C32" s="10" t="s">
        <v>12</v>
      </c>
      <c r="D32" s="10">
        <v>2601001028</v>
      </c>
      <c r="E32" s="11">
        <v>73</v>
      </c>
      <c r="F32" s="11">
        <f>VLOOKUP(B32,[1]汇总表!$B$4:$I$48,8,0)</f>
        <v>69.8333333333333</v>
      </c>
      <c r="G32" s="11">
        <f t="shared" si="0"/>
        <v>71.4166666666667</v>
      </c>
      <c r="H32" s="10" t="s">
        <v>29</v>
      </c>
      <c r="I32" s="13"/>
    </row>
    <row r="33" s="22" customFormat="1" ht="27.95" customHeight="1" spans="1:134">
      <c r="A33" s="8">
        <v>30</v>
      </c>
      <c r="B33" s="9" t="s">
        <v>43</v>
      </c>
      <c r="C33" s="10" t="s">
        <v>12</v>
      </c>
      <c r="D33" s="10">
        <v>2601001050</v>
      </c>
      <c r="E33" s="11">
        <v>68</v>
      </c>
      <c r="F33" s="11">
        <f>VLOOKUP(B33,[1]汇总表!$B$4:$I$48,8,0)</f>
        <v>74.8333333333333</v>
      </c>
      <c r="G33" s="11">
        <f t="shared" si="0"/>
        <v>71.4166666666667</v>
      </c>
      <c r="H33" s="10" t="s">
        <v>29</v>
      </c>
      <c r="I33" s="13"/>
    </row>
    <row r="34" s="22" customFormat="1" ht="27.95" customHeight="1" spans="1:134">
      <c r="A34" s="8">
        <v>31</v>
      </c>
      <c r="B34" s="14" t="s">
        <v>44</v>
      </c>
      <c r="C34" s="10" t="s">
        <v>12</v>
      </c>
      <c r="D34" s="10">
        <v>2601001066</v>
      </c>
      <c r="E34" s="11">
        <v>66.5</v>
      </c>
      <c r="F34" s="11">
        <f>VLOOKUP(B34,[1]汇总表!$B$4:$I$48,8,0)</f>
        <v>75.3333333333333</v>
      </c>
      <c r="G34" s="11">
        <f t="shared" si="0"/>
        <v>70.9166666666667</v>
      </c>
      <c r="H34" s="10" t="s">
        <v>29</v>
      </c>
      <c r="I34" s="13"/>
    </row>
    <row r="35" s="23" customFormat="1" ht="27.95" customHeight="1" spans="1:134">
      <c r="A35" s="8">
        <v>32</v>
      </c>
      <c r="B35" s="9" t="s">
        <v>45</v>
      </c>
      <c r="C35" s="10" t="s">
        <v>12</v>
      </c>
      <c r="D35" s="10">
        <v>2601001034</v>
      </c>
      <c r="E35" s="11">
        <v>75</v>
      </c>
      <c r="F35" s="11">
        <f>VLOOKUP(B35,[1]汇总表!$B$4:$I$48,8,0)</f>
        <v>66.5</v>
      </c>
      <c r="G35" s="11">
        <f t="shared" si="0"/>
        <v>70.75</v>
      </c>
      <c r="H35" s="10" t="s">
        <v>29</v>
      </c>
      <c r="I35" s="13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</row>
    <row r="36" s="23" customFormat="1" ht="27.95" customHeight="1" spans="1:134">
      <c r="A36" s="8">
        <v>33</v>
      </c>
      <c r="B36" s="9" t="s">
        <v>46</v>
      </c>
      <c r="C36" s="10" t="s">
        <v>12</v>
      </c>
      <c r="D36" s="10">
        <v>2601001007</v>
      </c>
      <c r="E36" s="11">
        <v>68</v>
      </c>
      <c r="F36" s="11">
        <f>VLOOKUP(B36,[1]汇总表!$B$4:$I$48,8,0)</f>
        <v>72.5</v>
      </c>
      <c r="G36" s="11">
        <f t="shared" si="0"/>
        <v>70.25</v>
      </c>
      <c r="H36" s="10" t="s">
        <v>29</v>
      </c>
      <c r="I36" s="13"/>
    </row>
    <row r="37" s="23" customFormat="1" ht="27.95" customHeight="1" spans="1:134">
      <c r="A37" s="8">
        <v>34</v>
      </c>
      <c r="B37" s="9" t="s">
        <v>47</v>
      </c>
      <c r="C37" s="10" t="s">
        <v>12</v>
      </c>
      <c r="D37" s="10">
        <v>2601001061</v>
      </c>
      <c r="E37" s="11">
        <v>69</v>
      </c>
      <c r="F37" s="11">
        <f>VLOOKUP(B37,[1]汇总表!$B$4:$I$48,8,0)</f>
        <v>69.3333333333333</v>
      </c>
      <c r="G37" s="11">
        <f t="shared" si="0"/>
        <v>69.1666666666667</v>
      </c>
      <c r="H37" s="10" t="s">
        <v>29</v>
      </c>
      <c r="I37" s="13"/>
    </row>
    <row r="38" s="23" customFormat="1" ht="27.95" customHeight="1" spans="1:134">
      <c r="A38" s="8">
        <v>35</v>
      </c>
      <c r="B38" s="9" t="s">
        <v>48</v>
      </c>
      <c r="C38" s="10" t="s">
        <v>12</v>
      </c>
      <c r="D38" s="10">
        <v>2601001031</v>
      </c>
      <c r="E38" s="11">
        <v>71</v>
      </c>
      <c r="F38" s="11">
        <f>VLOOKUP(B38,[1]汇总表!$B$4:$I$48,8,0)</f>
        <v>66.6666666666667</v>
      </c>
      <c r="G38" s="11">
        <f t="shared" si="0"/>
        <v>68.8333333333333</v>
      </c>
      <c r="H38" s="10" t="s">
        <v>29</v>
      </c>
      <c r="I38" s="13"/>
    </row>
    <row r="39" s="23" customFormat="1" ht="27.95" customHeight="1" spans="1:134">
      <c r="A39" s="8">
        <v>36</v>
      </c>
      <c r="B39" s="9" t="s">
        <v>49</v>
      </c>
      <c r="C39" s="10" t="s">
        <v>12</v>
      </c>
      <c r="D39" s="10">
        <v>2601001042</v>
      </c>
      <c r="E39" s="11">
        <v>68</v>
      </c>
      <c r="F39" s="11">
        <f>VLOOKUP(B39,[1]汇总表!$B$4:$I$48,8,0)</f>
        <v>68.5</v>
      </c>
      <c r="G39" s="11">
        <f t="shared" si="0"/>
        <v>68.25</v>
      </c>
      <c r="H39" s="10" t="s">
        <v>29</v>
      </c>
      <c r="I39" s="13"/>
    </row>
    <row r="40" s="23" customFormat="1" ht="27.95" customHeight="1" spans="1:134">
      <c r="A40" s="8">
        <v>37</v>
      </c>
      <c r="B40" s="9" t="s">
        <v>50</v>
      </c>
      <c r="C40" s="10" t="s">
        <v>12</v>
      </c>
      <c r="D40" s="10">
        <v>2601001054</v>
      </c>
      <c r="E40" s="11">
        <v>68</v>
      </c>
      <c r="F40" s="11">
        <f>VLOOKUP(B40,[1]汇总表!$B$4:$I$48,8,0)</f>
        <v>67.1666666666667</v>
      </c>
      <c r="G40" s="11">
        <f t="shared" si="0"/>
        <v>67.5833333333333</v>
      </c>
      <c r="H40" s="10" t="s">
        <v>29</v>
      </c>
      <c r="I40" s="13"/>
    </row>
    <row r="41" s="23" customFormat="1" ht="27.95" customHeight="1" spans="1:134">
      <c r="A41" s="8">
        <v>38</v>
      </c>
      <c r="B41" s="9" t="s">
        <v>51</v>
      </c>
      <c r="C41" s="10" t="s">
        <v>12</v>
      </c>
      <c r="D41" s="10">
        <v>2601001036</v>
      </c>
      <c r="E41" s="11">
        <v>66</v>
      </c>
      <c r="F41" s="11">
        <f>VLOOKUP(B41,[1]汇总表!$B$4:$I$48,8,0)</f>
        <v>68.5</v>
      </c>
      <c r="G41" s="11">
        <f t="shared" si="0"/>
        <v>67.25</v>
      </c>
      <c r="H41" s="10" t="s">
        <v>29</v>
      </c>
      <c r="I41" s="13"/>
    </row>
    <row r="42" s="23" customFormat="1" ht="27.95" customHeight="1" spans="1:134">
      <c r="A42" s="8">
        <v>39</v>
      </c>
      <c r="B42" s="9" t="s">
        <v>52</v>
      </c>
      <c r="C42" s="10" t="s">
        <v>12</v>
      </c>
      <c r="D42" s="10">
        <v>2601001001</v>
      </c>
      <c r="E42" s="11">
        <v>68.5</v>
      </c>
      <c r="F42" s="11">
        <f>VLOOKUP(B42,[1]汇总表!$B$4:$I$48,8,0)</f>
        <v>65.3333333333333</v>
      </c>
      <c r="G42" s="11">
        <f t="shared" si="0"/>
        <v>66.9166666666667</v>
      </c>
      <c r="H42" s="10" t="s">
        <v>29</v>
      </c>
      <c r="I42" s="13"/>
    </row>
    <row r="43" s="23" customFormat="1" ht="27.95" customHeight="1" spans="1:134">
      <c r="A43" s="8">
        <v>40</v>
      </c>
      <c r="B43" s="9" t="s">
        <v>53</v>
      </c>
      <c r="C43" s="10" t="s">
        <v>12</v>
      </c>
      <c r="D43" s="10">
        <v>2601001067</v>
      </c>
      <c r="E43" s="11">
        <v>66</v>
      </c>
      <c r="F43" s="11">
        <f>VLOOKUP(B43,[1]汇总表!$B$4:$I$48,8,0)</f>
        <v>63.3333333333333</v>
      </c>
      <c r="G43" s="11">
        <f t="shared" si="0"/>
        <v>64.6666666666667</v>
      </c>
      <c r="H43" s="10" t="s">
        <v>29</v>
      </c>
      <c r="I43" s="13"/>
    </row>
    <row r="44" s="23" customFormat="1" ht="27.95" customHeight="1" spans="1:134">
      <c r="A44" s="8">
        <v>41</v>
      </c>
      <c r="B44" s="9" t="s">
        <v>54</v>
      </c>
      <c r="C44" s="10" t="s">
        <v>12</v>
      </c>
      <c r="D44" s="10">
        <v>2601001023</v>
      </c>
      <c r="E44" s="11">
        <v>68</v>
      </c>
      <c r="F44" s="11">
        <f>VLOOKUP(B44,[1]汇总表!$B$4:$I$48,8,0)</f>
        <v>56.6666666666667</v>
      </c>
      <c r="G44" s="11">
        <f t="shared" si="0"/>
        <v>62.3333333333333</v>
      </c>
      <c r="H44" s="10" t="s">
        <v>29</v>
      </c>
      <c r="I44" s="13"/>
    </row>
    <row r="45" s="23" customFormat="1" ht="27.95" customHeight="1" spans="1:134">
      <c r="A45" s="8">
        <v>42</v>
      </c>
      <c r="B45" s="9" t="s">
        <v>55</v>
      </c>
      <c r="C45" s="10" t="s">
        <v>12</v>
      </c>
      <c r="D45" s="10">
        <v>2601001018</v>
      </c>
      <c r="E45" s="11">
        <v>73</v>
      </c>
      <c r="F45" s="11">
        <f>VLOOKUP(B45,[1]汇总表!$B$4:$I$48,8,0)</f>
        <v>47.5</v>
      </c>
      <c r="G45" s="11">
        <f t="shared" si="0"/>
        <v>60.25</v>
      </c>
      <c r="H45" s="10" t="s">
        <v>29</v>
      </c>
      <c r="I45" s="13"/>
    </row>
    <row r="46" s="23" customFormat="1" ht="27.95" customHeight="1" spans="1:134">
      <c r="A46" s="8">
        <v>43</v>
      </c>
      <c r="B46" s="10" t="s">
        <v>56</v>
      </c>
      <c r="C46" s="10" t="s">
        <v>12</v>
      </c>
      <c r="D46" s="10">
        <v>2601001027</v>
      </c>
      <c r="E46" s="11">
        <v>68</v>
      </c>
      <c r="F46" s="11">
        <f>VLOOKUP(B46,[1]汇总表!$B$4:$I$48,8,0)</f>
        <v>46.6666666666667</v>
      </c>
      <c r="G46" s="11">
        <f t="shared" si="0"/>
        <v>57.3333333333333</v>
      </c>
      <c r="H46" s="10" t="s">
        <v>29</v>
      </c>
      <c r="I46" s="13"/>
    </row>
    <row r="47" s="23" customFormat="1" ht="27.95" customHeight="1" spans="1:134">
      <c r="A47" s="8">
        <v>44</v>
      </c>
      <c r="B47" s="9" t="s">
        <v>57</v>
      </c>
      <c r="C47" s="10" t="s">
        <v>12</v>
      </c>
      <c r="D47" s="10">
        <v>2601001002</v>
      </c>
      <c r="E47" s="11">
        <v>79.5</v>
      </c>
      <c r="F47" s="11">
        <f>VLOOKUP(B47,[1]汇总表!$B$4:$I$48,8,0)</f>
        <v>34</v>
      </c>
      <c r="G47" s="11">
        <f t="shared" si="0"/>
        <v>56.75</v>
      </c>
      <c r="H47" s="10" t="s">
        <v>29</v>
      </c>
      <c r="I47" s="13"/>
    </row>
    <row r="48" s="23" customFormat="1" ht="27.95" customHeight="1" spans="1:134">
      <c r="A48" s="8">
        <v>45</v>
      </c>
      <c r="B48" s="9" t="s">
        <v>58</v>
      </c>
      <c r="C48" s="10" t="s">
        <v>12</v>
      </c>
      <c r="D48" s="10">
        <v>2601001021</v>
      </c>
      <c r="E48" s="11">
        <v>66</v>
      </c>
      <c r="F48" s="11">
        <f>VLOOKUP(B48,[1]汇总表!$B$4:$I$48,8,0)</f>
        <v>31.3333333333333</v>
      </c>
      <c r="G48" s="11">
        <f t="shared" si="0"/>
        <v>48.6666666666667</v>
      </c>
      <c r="H48" s="10" t="s">
        <v>29</v>
      </c>
      <c r="I48" s="13"/>
    </row>
  </sheetData>
  <autoFilter xmlns:etc="http://www.wps.cn/officeDocument/2017/etCustomData" ref="A3:IV48" etc:filterBottomFollowUsedRange="0">
    <extLst/>
  </autoFilter>
  <mergeCells count="2">
    <mergeCell ref="A1:I1"/>
    <mergeCell ref="A2:D2"/>
  </mergeCells>
  <conditionalFormatting sqref="B4:B9 B26:B31 B33:B35 B17:B19">
    <cfRule type="duplicateValues" dxfId="0" priority="1"/>
  </conditionalFormatting>
  <pageMargins left="0.39" right="0.2" top="0.55" bottom="0.28" header="0.21" footer="0.28"/>
  <pageSetup paperSize="9" scale="98" fitToHeight="0" orientation="portrait" horizont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9"/>
  <sheetViews>
    <sheetView zoomScale="85" zoomScaleNormal="85" workbookViewId="0">
      <pane ySplit="3" topLeftCell="A4" activePane="bottomLeft" state="frozen"/>
      <selection/>
      <selection pane="bottomLeft" activeCell="N13" sqref="N13"/>
    </sheetView>
  </sheetViews>
  <sheetFormatPr defaultColWidth="9" defaultRowHeight="15"/>
  <cols>
    <col min="1" max="1" width="4.75" customWidth="1"/>
    <col min="2" max="2" width="8.825" customWidth="1"/>
    <col min="3" max="3" width="7.79166666666667" customWidth="1"/>
    <col min="4" max="4" width="12.9333333333333" customWidth="1"/>
    <col min="5" max="6" width="11.75" customWidth="1"/>
    <col min="7" max="7" width="13.225" customWidth="1"/>
    <col min="8" max="8" width="14.8416666666667" customWidth="1"/>
    <col min="9" max="9" width="15.875" customWidth="1"/>
  </cols>
  <sheetData>
    <row r="1" ht="58" customHeight="1" spans="1:9">
      <c r="A1" s="16" t="s">
        <v>0</v>
      </c>
      <c r="B1" s="16"/>
      <c r="C1" s="16"/>
      <c r="D1" s="16"/>
      <c r="E1" s="16"/>
      <c r="F1" s="16"/>
      <c r="G1" s="16"/>
      <c r="H1" s="16"/>
      <c r="I1" s="17"/>
    </row>
    <row r="2" ht="21" customHeight="1" spans="1:9">
      <c r="A2" s="18" t="s">
        <v>59</v>
      </c>
      <c r="B2" s="18"/>
      <c r="C2" s="18"/>
      <c r="D2" s="18"/>
      <c r="E2" s="4"/>
      <c r="F2" s="4"/>
      <c r="G2" s="4"/>
      <c r="H2" s="4"/>
      <c r="I2" s="5"/>
    </row>
    <row r="3" ht="30" customHeight="1" spans="1:9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7" t="s">
        <v>10</v>
      </c>
    </row>
    <row r="4" ht="25" customHeight="1" spans="1:9">
      <c r="A4" s="8">
        <v>1</v>
      </c>
      <c r="B4" s="9" t="s">
        <v>60</v>
      </c>
      <c r="C4" s="10" t="s">
        <v>61</v>
      </c>
      <c r="D4" s="10">
        <v>2601002105</v>
      </c>
      <c r="E4" s="11">
        <v>86.5</v>
      </c>
      <c r="F4" s="11">
        <v>82.1666666666667</v>
      </c>
      <c r="G4" s="11">
        <f t="shared" ref="G4:G17" si="0">E4/2+F4/2</f>
        <v>84.3333333333333</v>
      </c>
      <c r="H4" s="12" t="s">
        <v>13</v>
      </c>
      <c r="I4" s="10"/>
    </row>
    <row r="5" ht="25" customHeight="1" spans="1:9">
      <c r="A5" s="8">
        <v>2</v>
      </c>
      <c r="B5" s="9" t="s">
        <v>62</v>
      </c>
      <c r="C5" s="10" t="s">
        <v>61</v>
      </c>
      <c r="D5" s="10">
        <v>2601002109</v>
      </c>
      <c r="E5" s="11">
        <v>82.5</v>
      </c>
      <c r="F5" s="11">
        <v>84.5</v>
      </c>
      <c r="G5" s="11">
        <f t="shared" si="0"/>
        <v>83.5</v>
      </c>
      <c r="H5" s="12" t="s">
        <v>13</v>
      </c>
      <c r="I5" s="13"/>
    </row>
    <row r="6" ht="25" customHeight="1" spans="1:9">
      <c r="A6" s="8">
        <v>3</v>
      </c>
      <c r="B6" s="9" t="s">
        <v>63</v>
      </c>
      <c r="C6" s="10" t="s">
        <v>61</v>
      </c>
      <c r="D6" s="10">
        <v>2601002096</v>
      </c>
      <c r="E6" s="11">
        <v>87.5</v>
      </c>
      <c r="F6" s="11">
        <v>79.3333333333333</v>
      </c>
      <c r="G6" s="11">
        <f t="shared" si="0"/>
        <v>83.4166666666667</v>
      </c>
      <c r="H6" s="12" t="s">
        <v>13</v>
      </c>
      <c r="I6" s="13"/>
    </row>
    <row r="7" ht="25" customHeight="1" spans="1:9">
      <c r="A7" s="8">
        <v>4</v>
      </c>
      <c r="B7" s="9" t="s">
        <v>64</v>
      </c>
      <c r="C7" s="10" t="s">
        <v>61</v>
      </c>
      <c r="D7" s="10">
        <v>2601002110</v>
      </c>
      <c r="E7" s="11">
        <v>77.5</v>
      </c>
      <c r="F7" s="11">
        <v>80</v>
      </c>
      <c r="G7" s="11">
        <f t="shared" si="0"/>
        <v>78.75</v>
      </c>
      <c r="H7" s="12" t="s">
        <v>13</v>
      </c>
      <c r="I7" s="13"/>
    </row>
    <row r="8" ht="25" customHeight="1" spans="1:9">
      <c r="A8" s="8">
        <v>5</v>
      </c>
      <c r="B8" s="9" t="s">
        <v>65</v>
      </c>
      <c r="C8" s="10" t="s">
        <v>61</v>
      </c>
      <c r="D8" s="10">
        <v>2601002073</v>
      </c>
      <c r="E8" s="11">
        <v>81.5</v>
      </c>
      <c r="F8" s="11">
        <v>75.1666666666667</v>
      </c>
      <c r="G8" s="11">
        <f t="shared" si="0"/>
        <v>78.3333333333333</v>
      </c>
      <c r="H8" s="12" t="s">
        <v>13</v>
      </c>
      <c r="I8" s="13"/>
    </row>
    <row r="9" ht="25" customHeight="1" spans="1:9">
      <c r="A9" s="8">
        <v>6</v>
      </c>
      <c r="B9" s="14" t="s">
        <v>66</v>
      </c>
      <c r="C9" s="10" t="s">
        <v>61</v>
      </c>
      <c r="D9" s="10">
        <v>2601002107</v>
      </c>
      <c r="E9" s="11">
        <v>88.5</v>
      </c>
      <c r="F9" s="11">
        <v>67.6666666666667</v>
      </c>
      <c r="G9" s="11">
        <f t="shared" si="0"/>
        <v>78.0833333333333</v>
      </c>
      <c r="H9" s="11" t="s">
        <v>29</v>
      </c>
      <c r="I9" s="13"/>
    </row>
    <row r="10" ht="25" customHeight="1" spans="1:9">
      <c r="A10" s="8">
        <v>7</v>
      </c>
      <c r="B10" s="9" t="s">
        <v>67</v>
      </c>
      <c r="C10" s="10" t="s">
        <v>61</v>
      </c>
      <c r="D10" s="10">
        <v>2601002091</v>
      </c>
      <c r="E10" s="11">
        <v>77</v>
      </c>
      <c r="F10" s="11">
        <v>78.8333333333333</v>
      </c>
      <c r="G10" s="11">
        <f t="shared" si="0"/>
        <v>77.9166666666667</v>
      </c>
      <c r="H10" s="11" t="s">
        <v>29</v>
      </c>
      <c r="I10" s="13"/>
    </row>
    <row r="11" ht="25" customHeight="1" spans="1:9">
      <c r="A11" s="8">
        <v>8</v>
      </c>
      <c r="B11" s="9" t="s">
        <v>68</v>
      </c>
      <c r="C11" s="10" t="s">
        <v>61</v>
      </c>
      <c r="D11" s="10">
        <v>2601002088</v>
      </c>
      <c r="E11" s="11">
        <v>79</v>
      </c>
      <c r="F11" s="11">
        <v>75.6666666666667</v>
      </c>
      <c r="G11" s="11">
        <f t="shared" si="0"/>
        <v>77.3333333333333</v>
      </c>
      <c r="H11" s="11" t="s">
        <v>29</v>
      </c>
      <c r="I11" s="13"/>
    </row>
    <row r="12" ht="25" customHeight="1" spans="1:9">
      <c r="A12" s="8">
        <v>9</v>
      </c>
      <c r="B12" s="9" t="s">
        <v>69</v>
      </c>
      <c r="C12" s="10" t="s">
        <v>61</v>
      </c>
      <c r="D12" s="10">
        <v>2601002082</v>
      </c>
      <c r="E12" s="11">
        <v>76.5</v>
      </c>
      <c r="F12" s="11">
        <v>74.8333333333333</v>
      </c>
      <c r="G12" s="11">
        <f t="shared" si="0"/>
        <v>75.6666666666667</v>
      </c>
      <c r="H12" s="11" t="s">
        <v>29</v>
      </c>
      <c r="I12" s="13"/>
    </row>
    <row r="13" ht="25" customHeight="1" spans="1:9">
      <c r="A13" s="8">
        <v>10</v>
      </c>
      <c r="B13" s="9" t="s">
        <v>70</v>
      </c>
      <c r="C13" s="10" t="s">
        <v>61</v>
      </c>
      <c r="D13" s="10">
        <v>2601002080</v>
      </c>
      <c r="E13" s="11">
        <v>79.5</v>
      </c>
      <c r="F13" s="11">
        <v>70</v>
      </c>
      <c r="G13" s="11">
        <f t="shared" si="0"/>
        <v>74.75</v>
      </c>
      <c r="H13" s="11" t="s">
        <v>29</v>
      </c>
      <c r="I13" s="13"/>
    </row>
    <row r="14" ht="25" customHeight="1" spans="1:9">
      <c r="A14" s="8">
        <v>11</v>
      </c>
      <c r="B14" s="9" t="s">
        <v>71</v>
      </c>
      <c r="C14" s="10" t="s">
        <v>61</v>
      </c>
      <c r="D14" s="10">
        <v>2601002103</v>
      </c>
      <c r="E14" s="11">
        <v>85</v>
      </c>
      <c r="F14" s="11">
        <v>63.5</v>
      </c>
      <c r="G14" s="11">
        <f t="shared" si="0"/>
        <v>74.25</v>
      </c>
      <c r="H14" s="11" t="s">
        <v>29</v>
      </c>
      <c r="I14" s="13"/>
    </row>
    <row r="15" ht="25" customHeight="1" spans="1:9">
      <c r="A15" s="8">
        <v>12</v>
      </c>
      <c r="B15" s="9" t="s">
        <v>72</v>
      </c>
      <c r="C15" s="10" t="s">
        <v>61</v>
      </c>
      <c r="D15" s="10">
        <v>2601002104</v>
      </c>
      <c r="E15" s="11">
        <v>75.5</v>
      </c>
      <c r="F15" s="11">
        <v>63.1666666666667</v>
      </c>
      <c r="G15" s="11">
        <f t="shared" si="0"/>
        <v>69.3333333333333</v>
      </c>
      <c r="H15" s="11" t="s">
        <v>29</v>
      </c>
      <c r="I15" s="13"/>
    </row>
    <row r="16" ht="25" customHeight="1" spans="1:9">
      <c r="A16" s="8">
        <v>13</v>
      </c>
      <c r="B16" s="9" t="s">
        <v>73</v>
      </c>
      <c r="C16" s="10" t="s">
        <v>61</v>
      </c>
      <c r="D16" s="10">
        <v>2601002095</v>
      </c>
      <c r="E16" s="11">
        <v>74.5</v>
      </c>
      <c r="F16" s="11">
        <v>61.6666666666667</v>
      </c>
      <c r="G16" s="11">
        <f t="shared" si="0"/>
        <v>68.0833333333333</v>
      </c>
      <c r="H16" s="11" t="s">
        <v>29</v>
      </c>
      <c r="I16" s="13"/>
    </row>
    <row r="17" ht="25" customHeight="1" spans="1:9">
      <c r="A17" s="8">
        <v>14</v>
      </c>
      <c r="B17" s="9" t="s">
        <v>74</v>
      </c>
      <c r="C17" s="10" t="s">
        <v>61</v>
      </c>
      <c r="D17" s="10">
        <v>2601002106</v>
      </c>
      <c r="E17" s="11">
        <v>74</v>
      </c>
      <c r="F17" s="11">
        <v>62</v>
      </c>
      <c r="G17" s="11">
        <f t="shared" si="0"/>
        <v>68</v>
      </c>
      <c r="H17" s="11" t="s">
        <v>29</v>
      </c>
      <c r="I17" s="13"/>
    </row>
    <row r="18" ht="25" customHeight="1" spans="1:9">
      <c r="A18" s="8">
        <v>15</v>
      </c>
      <c r="B18" s="9" t="s">
        <v>75</v>
      </c>
      <c r="C18" s="10" t="s">
        <v>61</v>
      </c>
      <c r="D18" s="10">
        <v>2601002070</v>
      </c>
      <c r="E18" s="11">
        <v>73.5</v>
      </c>
      <c r="F18" s="11" t="s">
        <v>76</v>
      </c>
      <c r="G18" s="11">
        <f>E18/2</f>
        <v>36.75</v>
      </c>
      <c r="H18" s="11" t="s">
        <v>29</v>
      </c>
      <c r="I18" s="13"/>
    </row>
    <row r="19" ht="25" customHeight="1" spans="1:9">
      <c r="A19" s="8">
        <v>16</v>
      </c>
      <c r="B19" s="10" t="s">
        <v>77</v>
      </c>
      <c r="C19" s="10" t="s">
        <v>61</v>
      </c>
      <c r="D19" s="10">
        <v>2601002078</v>
      </c>
      <c r="E19" s="11">
        <v>73.5</v>
      </c>
      <c r="F19" s="11" t="s">
        <v>76</v>
      </c>
      <c r="G19" s="11">
        <f>E19/2</f>
        <v>36.75</v>
      </c>
      <c r="H19" s="11" t="s">
        <v>29</v>
      </c>
      <c r="I19" s="13"/>
    </row>
  </sheetData>
  <mergeCells count="2">
    <mergeCell ref="A1:I1"/>
    <mergeCell ref="A2:D2"/>
  </mergeCells>
  <conditionalFormatting sqref="B11 B16:B19">
    <cfRule type="duplicateValues" dxfId="0" priority="1"/>
  </conditionalFormatting>
  <pageMargins left="0.75" right="0.75" top="1" bottom="1" header="0.5" footer="0.5"/>
  <pageSetup paperSize="9" scale="79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13"/>
  <sheetViews>
    <sheetView zoomScale="85" zoomScaleNormal="85" workbookViewId="0">
      <selection activeCell="M6" sqref="M6"/>
    </sheetView>
  </sheetViews>
  <sheetFormatPr defaultColWidth="9" defaultRowHeight="15"/>
  <cols>
    <col min="1" max="1" width="4.75" customWidth="1"/>
    <col min="2" max="2" width="7" customWidth="1"/>
    <col min="3" max="3" width="5.875" customWidth="1"/>
    <col min="4" max="4" width="11.75" customWidth="1"/>
    <col min="5" max="6" width="10.4416666666667" customWidth="1"/>
    <col min="7" max="7" width="12.6333333333333" customWidth="1"/>
    <col min="8" max="8" width="14.2583333333333" customWidth="1"/>
    <col min="9" max="9" width="16.3166666666667" customWidth="1"/>
  </cols>
  <sheetData>
    <row r="1" ht="57" customHeight="1" spans="1:18">
      <c r="A1" s="1" t="s">
        <v>0</v>
      </c>
      <c r="B1" s="1"/>
      <c r="C1" s="1"/>
      <c r="D1" s="1"/>
      <c r="E1" s="1"/>
      <c r="F1" s="1"/>
      <c r="G1" s="1"/>
      <c r="H1" s="1"/>
      <c r="I1" s="2"/>
    </row>
    <row r="2" ht="21" customHeight="1" spans="1:18">
      <c r="A2" s="4" t="s">
        <v>78</v>
      </c>
      <c r="B2" s="4"/>
      <c r="C2" s="4"/>
      <c r="D2" s="4"/>
      <c r="E2" s="4"/>
      <c r="F2" s="4"/>
      <c r="G2" s="4"/>
      <c r="H2" s="4"/>
      <c r="I2" s="5"/>
    </row>
    <row r="3" ht="45" customHeight="1" spans="1:18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7" t="s">
        <v>10</v>
      </c>
    </row>
    <row r="4" ht="25" customHeight="1" spans="1:18">
      <c r="A4" s="8">
        <v>1</v>
      </c>
      <c r="B4" s="14" t="s">
        <v>79</v>
      </c>
      <c r="C4" s="10" t="s">
        <v>12</v>
      </c>
      <c r="D4" s="10">
        <v>2601003123</v>
      </c>
      <c r="E4" s="11">
        <v>81</v>
      </c>
      <c r="F4" s="11">
        <v>77.1666666666667</v>
      </c>
      <c r="G4" s="11">
        <f>E4/2+F4/2</f>
        <v>79.0833333333333</v>
      </c>
      <c r="H4" s="12" t="s">
        <v>13</v>
      </c>
      <c r="I4" s="13"/>
    </row>
    <row r="5" ht="25" customHeight="1" spans="1:18">
      <c r="A5" s="8">
        <v>2</v>
      </c>
      <c r="B5" s="10" t="s">
        <v>80</v>
      </c>
      <c r="C5" s="10" t="s">
        <v>12</v>
      </c>
      <c r="D5" s="10">
        <v>2601003116</v>
      </c>
      <c r="E5" s="11">
        <v>82</v>
      </c>
      <c r="F5" s="11">
        <v>75.5</v>
      </c>
      <c r="G5" s="11">
        <f t="shared" ref="G5:G12" si="0">E5/2+F5/2</f>
        <v>78.75</v>
      </c>
      <c r="H5" s="12" t="s">
        <v>13</v>
      </c>
      <c r="I5" s="13"/>
    </row>
    <row r="6" ht="25" customHeight="1" spans="1:18">
      <c r="A6" s="8">
        <v>3</v>
      </c>
      <c r="B6" s="9" t="s">
        <v>81</v>
      </c>
      <c r="C6" s="10" t="s">
        <v>12</v>
      </c>
      <c r="D6" s="10">
        <v>2601003127</v>
      </c>
      <c r="E6" s="11">
        <v>78.5</v>
      </c>
      <c r="F6" s="11">
        <v>79</v>
      </c>
      <c r="G6" s="11">
        <f t="shared" si="0"/>
        <v>78.75</v>
      </c>
      <c r="H6" s="12" t="s">
        <v>13</v>
      </c>
      <c r="I6" s="13"/>
    </row>
    <row r="7" ht="25" customHeight="1" spans="1:18">
      <c r="A7" s="8">
        <v>4</v>
      </c>
      <c r="B7" s="10" t="s">
        <v>82</v>
      </c>
      <c r="C7" s="10" t="s">
        <v>12</v>
      </c>
      <c r="D7" s="10">
        <v>2601003118</v>
      </c>
      <c r="E7" s="11">
        <v>84</v>
      </c>
      <c r="F7" s="11">
        <v>72.8333333333333</v>
      </c>
      <c r="G7" s="11">
        <f t="shared" si="0"/>
        <v>78.4166666666667</v>
      </c>
      <c r="H7" s="12" t="s">
        <v>13</v>
      </c>
      <c r="I7" s="13"/>
    </row>
    <row r="8" ht="25" customHeight="1" spans="1:18">
      <c r="A8" s="8">
        <v>5</v>
      </c>
      <c r="B8" s="9" t="s">
        <v>83</v>
      </c>
      <c r="C8" s="10" t="s">
        <v>12</v>
      </c>
      <c r="D8" s="10">
        <v>2601003124</v>
      </c>
      <c r="E8" s="11">
        <v>75.5</v>
      </c>
      <c r="F8" s="11">
        <v>75.8333333333333</v>
      </c>
      <c r="G8" s="11">
        <f t="shared" si="0"/>
        <v>75.6666666666667</v>
      </c>
      <c r="H8" s="11" t="s">
        <v>29</v>
      </c>
      <c r="I8" s="13"/>
    </row>
    <row r="9" ht="25" customHeight="1" spans="1:18">
      <c r="A9" s="8">
        <v>6</v>
      </c>
      <c r="B9" s="9" t="s">
        <v>84</v>
      </c>
      <c r="C9" s="10" t="s">
        <v>12</v>
      </c>
      <c r="D9" s="10">
        <v>2601003125</v>
      </c>
      <c r="E9" s="11">
        <v>74.5</v>
      </c>
      <c r="F9" s="11">
        <v>64.5</v>
      </c>
      <c r="G9" s="11">
        <f t="shared" si="0"/>
        <v>69.5</v>
      </c>
      <c r="H9" s="11" t="s">
        <v>29</v>
      </c>
      <c r="I9" s="13"/>
    </row>
    <row r="10" ht="25" customHeight="1" spans="1:18">
      <c r="A10" s="8">
        <v>7</v>
      </c>
      <c r="B10" s="9" t="s">
        <v>85</v>
      </c>
      <c r="C10" s="10" t="s">
        <v>12</v>
      </c>
      <c r="D10" s="10">
        <v>2601003119</v>
      </c>
      <c r="E10" s="11">
        <v>74</v>
      </c>
      <c r="F10" s="11">
        <v>61.6666666666667</v>
      </c>
      <c r="G10" s="11">
        <f t="shared" si="0"/>
        <v>67.8333333333333</v>
      </c>
      <c r="H10" s="11" t="s">
        <v>29</v>
      </c>
      <c r="I10" s="13"/>
    </row>
    <row r="11" ht="25" customHeight="1" spans="1:18">
      <c r="A11" s="8">
        <v>8</v>
      </c>
      <c r="B11" s="9" t="s">
        <v>86</v>
      </c>
      <c r="C11" s="10" t="s">
        <v>12</v>
      </c>
      <c r="D11" s="10">
        <v>2601003115</v>
      </c>
      <c r="E11" s="11">
        <v>71.5</v>
      </c>
      <c r="F11" s="11">
        <v>62.3333333333333</v>
      </c>
      <c r="G11" s="11">
        <f t="shared" si="0"/>
        <v>66.9166666666667</v>
      </c>
      <c r="H11" s="11" t="s">
        <v>29</v>
      </c>
      <c r="I11" s="13"/>
    </row>
    <row r="12" ht="25" customHeight="1" spans="1:18">
      <c r="A12" s="8">
        <v>9</v>
      </c>
      <c r="B12" s="9" t="s">
        <v>87</v>
      </c>
      <c r="C12" s="10" t="s">
        <v>12</v>
      </c>
      <c r="D12" s="10">
        <v>2601003114</v>
      </c>
      <c r="E12" s="11">
        <v>67</v>
      </c>
      <c r="F12" s="11">
        <v>32.6666666666667</v>
      </c>
      <c r="G12" s="11">
        <f t="shared" si="0"/>
        <v>49.8333333333333</v>
      </c>
      <c r="H12" s="11" t="s">
        <v>29</v>
      </c>
      <c r="I12" s="13"/>
    </row>
    <row r="13" spans="1:18">
      <c r="R13" s="15"/>
    </row>
  </sheetData>
  <mergeCells count="2">
    <mergeCell ref="A1:I1"/>
    <mergeCell ref="A2:D2"/>
  </mergeCells>
  <conditionalFormatting sqref="B10">
    <cfRule type="duplicateValues" dxfId="0" priority="1"/>
  </conditionalFormatting>
  <pageMargins left="0.75" right="0.75" top="1" bottom="1" header="0.5" footer="0.5"/>
  <pageSetup paperSize="9" scale="86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6"/>
  <sheetViews>
    <sheetView workbookViewId="0">
      <selection activeCell="A1" sqref="A1:I1"/>
    </sheetView>
  </sheetViews>
  <sheetFormatPr defaultColWidth="9" defaultRowHeight="15" outlineLevelRow="5"/>
  <cols>
    <col min="1" max="1" width="4.75" customWidth="1"/>
    <col min="2" max="2" width="7" customWidth="1"/>
    <col min="3" max="3" width="5.875" customWidth="1"/>
    <col min="4" max="6" width="11.75" customWidth="1"/>
    <col min="7" max="8" width="12.625" customWidth="1"/>
    <col min="9" max="9" width="14.875" customWidth="1"/>
  </cols>
  <sheetData>
    <row r="1" ht="48" customHeight="1" spans="1:9">
      <c r="A1" s="1" t="s">
        <v>0</v>
      </c>
      <c r="B1" s="1"/>
      <c r="C1" s="1"/>
      <c r="D1" s="1"/>
      <c r="E1" s="1"/>
      <c r="F1" s="1"/>
      <c r="G1" s="1"/>
      <c r="H1" s="1"/>
      <c r="I1" s="2"/>
    </row>
    <row r="2" ht="21" customHeight="1" spans="1:9">
      <c r="A2" s="3" t="s">
        <v>88</v>
      </c>
      <c r="B2" s="3"/>
      <c r="C2" s="3"/>
      <c r="D2" s="3"/>
      <c r="E2" s="4"/>
      <c r="F2" s="4"/>
      <c r="G2" s="4"/>
      <c r="H2" s="4"/>
      <c r="I2" s="5"/>
    </row>
    <row r="3" ht="38" customHeight="1" spans="1:9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7" t="s">
        <v>10</v>
      </c>
    </row>
    <row r="4" ht="26" customHeight="1" spans="1:9">
      <c r="A4" s="8">
        <v>1</v>
      </c>
      <c r="B4" s="9" t="s">
        <v>89</v>
      </c>
      <c r="C4" s="10" t="s">
        <v>90</v>
      </c>
      <c r="D4" s="10">
        <v>2601004135</v>
      </c>
      <c r="E4" s="11">
        <v>86</v>
      </c>
      <c r="F4" s="11">
        <v>82.5</v>
      </c>
      <c r="G4" s="11">
        <f t="shared" ref="G4:G6" si="0">E4/2+F4/2</f>
        <v>84.25</v>
      </c>
      <c r="H4" s="12" t="s">
        <v>13</v>
      </c>
      <c r="I4" s="13"/>
    </row>
    <row r="5" ht="24" customHeight="1" spans="1:9">
      <c r="A5" s="8">
        <v>2</v>
      </c>
      <c r="B5" s="9" t="s">
        <v>91</v>
      </c>
      <c r="C5" s="10" t="s">
        <v>90</v>
      </c>
      <c r="D5" s="10">
        <v>2601004136</v>
      </c>
      <c r="E5" s="11">
        <v>85.5</v>
      </c>
      <c r="F5" s="11">
        <v>71.5</v>
      </c>
      <c r="G5" s="11">
        <f t="shared" si="0"/>
        <v>78.5</v>
      </c>
      <c r="H5" s="11" t="s">
        <v>29</v>
      </c>
      <c r="I5" s="13"/>
    </row>
    <row r="6" ht="30" customHeight="1" spans="1:9">
      <c r="A6" s="8">
        <v>3</v>
      </c>
      <c r="B6" s="9" t="s">
        <v>92</v>
      </c>
      <c r="C6" s="10" t="s">
        <v>90</v>
      </c>
      <c r="D6" s="10">
        <v>2601004137</v>
      </c>
      <c r="E6" s="11">
        <v>84</v>
      </c>
      <c r="F6" s="11">
        <v>72</v>
      </c>
      <c r="G6" s="11">
        <f t="shared" si="0"/>
        <v>78</v>
      </c>
      <c r="H6" s="11" t="s">
        <v>29</v>
      </c>
      <c r="I6" s="13"/>
    </row>
  </sheetData>
  <mergeCells count="1">
    <mergeCell ref="A1:I1"/>
  </mergeCells>
  <pageMargins left="0.75" right="0.75" top="1" bottom="1" header="0.5" footer="0.5"/>
  <pageSetup paperSize="9" scale="87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2601001岗</vt:lpstr>
      <vt:lpstr>2601002岗</vt:lpstr>
      <vt:lpstr>2601003岗</vt:lpstr>
      <vt:lpstr>2601004岗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赖智勇</cp:lastModifiedBy>
  <cp:revision>1</cp:revision>
  <dcterms:created xsi:type="dcterms:W3CDTF">2008-11-16T11:20:00Z</dcterms:created>
  <cp:lastPrinted>2017-08-06T10:33:00Z</cp:lastPrinted>
  <dcterms:modified xsi:type="dcterms:W3CDTF">2026-03-26T09:12:40Z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CAFD98A279184D5CAFAA0658F3D9F0A3_13</vt:lpwstr>
  </property>
  <property fmtid="{D5CDD505-2E9C-101B-9397-08002B2CF9AE}" pid="4" name="CalculationRule">
    <vt:i4>0</vt:i4>
  </property>
</Properties>
</file>